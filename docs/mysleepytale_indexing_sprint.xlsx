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Gap &amp; Action Plan" sheetId="2" state="visible" r:id="rId4"/>
    <sheet name="Link Distribution" sheetId="3" state="visible" r:id="rId5"/>
    <sheet name="Daily Schedule (15 Days)" sheetId="4" state="visible" r:id="rId6"/>
    <sheet name="Indexing Checklist" sheetId="5" state="visible" r:id="rId7"/>
    <sheet name="Team Summary" sheetId="6" state="visible" r:id="rId8"/>
  </sheets>
  <definedNames>
    <definedName function="false" hidden="true" localSheetId="2" name="_xlnm._FilterDatabase" vbProcedure="false">'Link Distribution'!$A$1:$J$51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<sst xmlns="http://schemas.openxmlformats.org/spreadsheetml/2006/main" count="638" uniqueCount="374">
  <si>
    <t xml:space="preserve">🔎 mysleepytale — 15-Day Google Indexing Sprint</t>
  </si>
  <si>
    <t xml:space="preserve">Goal: get all 50 'discovered but not indexed' pages into Google within 15 days.</t>
  </si>
  <si>
    <t xml:space="preserve">  The gap (where we are vs where we need to be)</t>
  </si>
  <si>
    <t xml:space="preserve">Now</t>
  </si>
  <si>
    <t xml:space="preserve">Google has crawled/discovered 50 URLs but hasn't indexed them. They won't show in search until indexed.</t>
  </si>
  <si>
    <t xml:space="preserve">Likely causes</t>
  </si>
  <si>
    <t xml:space="preserve">New-ish domain &amp; low authority, thin/duplicate signals, few internal links, almost no backlinks, and 3 SPA routes that are JavaScript-only (Google struggles to render them).</t>
  </si>
  <si>
    <t xml:space="preserve">Target</t>
  </si>
  <si>
    <t xml:space="preserve">50/50 indexed (or a clear fix-list for any stragglers) in 15 days.</t>
  </si>
  <si>
    <t xml:space="preserve">  The plan = 2 tracks (run both at once)</t>
  </si>
  <si>
    <t xml:space="preserve">TRACK A — Technical (does 80% of the work)</t>
  </si>
  <si>
    <t xml:space="preserve">Search Console sitemap + 'Request Indexing', internal links, a few real backlinks, fix the SPA pages, IndexNow. → See 'Indexing Checklist' tab. Owner-led.</t>
  </si>
  <si>
    <t xml:space="preserve">TRACK B — Social distribution (you + 4 friends)</t>
  </si>
  <si>
    <t xml:space="preserve">Each person shares their assigned links on FB / X / LinkedIn / IG / WhatsApp groups. Drives discovery + traffic, which nudges Google to crawl. → See 'Link Distribution' tab.</t>
  </si>
  <si>
    <t xml:space="preserve">  How the team uses this file</t>
  </si>
  <si>
    <t xml:space="preserve">1. Each person opens 'Link Distribution', filters Owner = their name → that's their 10 links + ready-made example posts.</t>
  </si>
  <si>
    <t xml:space="preserve">2. Share ~1 link/day on the suggested platform. Copy the example post, paste, add the link. Mark Status = Shared.</t>
  </si>
  <si>
    <t xml:space="preserve">3. The owner works the 'Indexing Checklist' + 'Daily Schedule (15 Days)' in parallel.</t>
  </si>
  <si>
    <t xml:space="preserve">4. Check progress on 'Team Summary'. Re-share stragglers on a 2nd platform in week 2.</t>
  </si>
  <si>
    <t xml:space="preserve">▸ Honest expectation: Google decides final timing — we can't force it. But sitemap + Request Indexing + internal links + fixing the SPA pages is what actually moves the needle. Social shares help discovery; they are not a guaranteed index button. Doing all of it together is how we hit 15 days.</t>
  </si>
  <si>
    <t xml:space="preserve">#</t>
  </si>
  <si>
    <t xml:space="preserve">Action (what to do)</t>
  </si>
  <si>
    <t xml:space="preserve">Why it matters for indexing</t>
  </si>
  <si>
    <t xml:space="preserve">Track</t>
  </si>
  <si>
    <t xml:space="preserve">Owner</t>
  </si>
  <si>
    <t xml:space="preserve">By day</t>
  </si>
  <si>
    <t xml:space="preserve">Verify Google Search Console + submit/re-submit sitemap.xml</t>
  </si>
  <si>
    <t xml:space="preserve">Google needs an up-to-date sitemap to know all 50 URLs exist and re-crawl them.</t>
  </si>
  <si>
    <t xml:space="preserve">Technical</t>
  </si>
  <si>
    <t xml:space="preserve">Day 1</t>
  </si>
  <si>
    <t xml:space="preserve">URL Inspection → 'Request Indexing' for Priority 1 URLs</t>
  </si>
  <si>
    <t xml:space="preserve">The single most direct way to ask Google to index a specific page (quota ~10–15/day).</t>
  </si>
  <si>
    <t xml:space="preserve">Day 2</t>
  </si>
  <si>
    <t xml:space="preserve">Add internal links: homepage + already-indexed pages → these 50 URLs</t>
  </si>
  <si>
    <t xml:space="preserve">Internal links pass crawl signals; orphan pages rarely get indexed.</t>
  </si>
  <si>
    <t xml:space="preserve">Day 3</t>
  </si>
  <si>
    <t xml:space="preserve">Fix SPA routes (/blog/, /demo/multilingual/, /aboutus)</t>
  </si>
  <si>
    <t xml:space="preserve">JS-only pages often render empty to Googlebot. Add SSR/prerender or static HTML or they may NEVER index.</t>
  </si>
  <si>
    <t xml:space="preserve">Dev/Owner</t>
  </si>
  <si>
    <t xml:space="preserve">Day 4–5</t>
  </si>
  <si>
    <t xml:space="preserve">Request Indexing for Priority 2–3 URLs</t>
  </si>
  <si>
    <t xml:space="preserve">Keep feeding Google the next batch within daily quota.</t>
  </si>
  <si>
    <t xml:space="preserve">Day 6</t>
  </si>
  <si>
    <t xml:space="preserve">Submit URLs via IndexNow (Bing/Yandex)</t>
  </si>
  <si>
    <t xml:space="preserve">Instant submission to Bing/Yandex; broad indexing health + referral signals.</t>
  </si>
  <si>
    <t xml:space="preserve">Day 7</t>
  </si>
  <si>
    <t xml:space="preserve">Get 3–5 real backlinks (parent blogs, directories, Medium, relevant Reddit)</t>
  </si>
  <si>
    <t xml:space="preserve">Dofollow links from crawled sites are far stronger discovery signals than social posts.</t>
  </si>
  <si>
    <t xml:space="preserve">Off-site</t>
  </si>
  <si>
    <t xml:space="preserve">Owner + team</t>
  </si>
  <si>
    <t xml:space="preserve">Day 4–13</t>
  </si>
  <si>
    <t xml:space="preserve">Each person shares assigned links (Track B)</t>
  </si>
  <si>
    <t xml:space="preserve">Social shares drive traffic + get URLs crawled from public pages Google scans.</t>
  </si>
  <si>
    <t xml:space="preserve">Social</t>
  </si>
  <si>
    <t xml:space="preserve">All 5</t>
  </si>
  <si>
    <t xml:space="preserve">Day 1–10</t>
  </si>
  <si>
    <t xml:space="preserve">Re-share stragglers on a 2nd platform</t>
  </si>
  <si>
    <t xml:space="preserve">A second touch on a different network widens discovery for pages still not indexed.</t>
  </si>
  <si>
    <t xml:space="preserve">Day 11–13</t>
  </si>
  <si>
    <t xml:space="preserve">Check thin/duplicate pages flagged 'Crawled – not indexed'</t>
  </si>
  <si>
    <t xml:space="preserve">If content is thin, Google won't index it. Beef up to unique, useful, 600+ words.</t>
  </si>
  <si>
    <t xml:space="preserve">Content/Owner</t>
  </si>
  <si>
    <t xml:space="preserve">Day 12–14</t>
  </si>
  <si>
    <t xml:space="preserve">Daily index check: search site:mysleepytale.com/&lt;path&gt;</t>
  </si>
  <si>
    <t xml:space="preserve">Tracks exactly which of the 50 are in. Update Status in the sheet.</t>
  </si>
  <si>
    <t xml:space="preserve">Monitor</t>
  </si>
  <si>
    <t xml:space="preserve">Daily</t>
  </si>
  <si>
    <t xml:space="preserve">Final review + fix-list for any remaining</t>
  </si>
  <si>
    <t xml:space="preserve">Close out the sprint; plan targeted fixes for stubborn URLs.</t>
  </si>
  <si>
    <t xml:space="preserve">Day 15</t>
  </si>
  <si>
    <t xml:space="preserve">Pri</t>
  </si>
  <si>
    <t xml:space="preserve">URL</t>
  </si>
  <si>
    <t xml:space="preserve">Topic</t>
  </si>
  <si>
    <t xml:space="preserve">Suggested platform</t>
  </si>
  <si>
    <t xml:space="preserve">Share by</t>
  </si>
  <si>
    <t xml:space="preserve">Example post (copy, paste, add the link)</t>
  </si>
  <si>
    <t xml:space="preserve">Status</t>
  </si>
  <si>
    <t xml:space="preserve">Indexed?</t>
  </si>
  <si>
    <t xml:space="preserve">mysleepytale.com/blog/fifa-world-cup-kids-audiobook</t>
  </si>
  <si>
    <t xml:space="preserve">World Cup Kids Audiobook</t>
  </si>
  <si>
    <t xml:space="preserve">Sahil</t>
  </si>
  <si>
    <t xml:space="preserve">X + IG story</t>
  </si>
  <si>
    <t xml:space="preserve">Jun 15</t>
  </si>
  <si>
    <t xml:space="preserve">⚽ World Cup buzz everywhere — turn it into calm bedtimes with World Cup audiobooks for kids. Goals by day, dreams by night. 🌙 #BedtimeStories #Parenting #KidsBooks #mysleepytale</t>
  </si>
  <si>
    <t xml:space="preserve">Not shared</t>
  </si>
  <si>
    <t xml:space="preserve">No</t>
  </si>
  <si>
    <t xml:space="preserve">mysleepytale.com/blog/fifa-world-cup-dallas-kids-audiobook</t>
  </si>
  <si>
    <t xml:space="preserve">World Cup Dallas Kids Audiobook</t>
  </si>
  <si>
    <t xml:space="preserve">Deepti</t>
  </si>
  <si>
    <t xml:space="preserve">FB (Dallas groups) + IG</t>
  </si>
  <si>
    <t xml:space="preserve">Dallas families 🤠⚽ the World Cup is coming! Get your little fans excited with kid-friendly World Cup audiobooks. #BedtimeStories #Parenting #KidsBooks #mysleepytale</t>
  </si>
  <si>
    <t xml:space="preserve">mysleepytale.com/blog/why-bedtime-stories-matter</t>
  </si>
  <si>
    <t xml:space="preserve">Why Bedtime Stories Matter</t>
  </si>
  <si>
    <t xml:space="preserve">Raksha</t>
  </si>
  <si>
    <t xml:space="preserve">FB parent groups + IG</t>
  </si>
  <si>
    <t xml:space="preserve">Bedtime stories aren't just cute — they build vocabulary, empathy and calmer sleep. Here's the why (and how to start tonight). 🌙 #BedtimeStories #Parenting #KidsBooks #mysleepytale</t>
  </si>
  <si>
    <t xml:space="preserve">mysleepytale.com/blog/screen-free-bedtime-routines</t>
  </si>
  <si>
    <t xml:space="preserve">Screen-Free Bedtime Routines</t>
  </si>
  <si>
    <t xml:space="preserve">Sarvanthi</t>
  </si>
  <si>
    <t xml:space="preserve">FB parent groups + Pinterest</t>
  </si>
  <si>
    <t xml:space="preserve">Trying to cut screens before bed? 📵 Simple screen-free bedtime routines that actually work — plus audio stories to replace the scroll. #BedtimeStories #Parenting #KidsBooks #mysleepytale</t>
  </si>
  <si>
    <t xml:space="preserve">mysleepytale.com/blog/indian-bedtime-stories</t>
  </si>
  <si>
    <t xml:space="preserve">Indian Bedtime Stories</t>
  </si>
  <si>
    <t xml:space="preserve">Prateek</t>
  </si>
  <si>
    <t xml:space="preserve">FB community + WhatsApp</t>
  </si>
  <si>
    <t xml:space="preserve">From Panchatantra to modern tales 🪔 — Indian bedtime stories your kids will love, in languages they understand. #BedtimeStories #Parenting #KidsBooks #mysleepytale</t>
  </si>
  <si>
    <t xml:space="preserve">mysleepytale.com/blog/islamic-stories-for-kids</t>
  </si>
  <si>
    <t xml:space="preserve">Islamic Stories for Kids (blog)</t>
  </si>
  <si>
    <t xml:space="preserve">FB community + IG</t>
  </si>
  <si>
    <t xml:space="preserve">Jun 16</t>
  </si>
  <si>
    <t xml:space="preserve">Beautiful Islamic stories for kids — values, kindness and gentle tales at bedtime. 🌙 #BedtimeStories #Parenting #KidsBooks #mysleepytale</t>
  </si>
  <si>
    <t xml:space="preserve">mysleepytale.com/blog/best-bedtime-story-app-2026</t>
  </si>
  <si>
    <t xml:space="preserve">Best Bedtime Story App 2026</t>
  </si>
  <si>
    <t xml:space="preserve">LinkedIn + X</t>
  </si>
  <si>
    <t xml:space="preserve">Looking for the best bedtime story app in 2026? An honest rundown of what to look for. 📱 #BedtimeStories #Parenting #KidsBooks #mysleepytale</t>
  </si>
  <si>
    <t xml:space="preserve">mysleepytale.com/blog/best-bedtime-story-app-toronto</t>
  </si>
  <si>
    <t xml:space="preserve">Best Bedtime Story App Toronto</t>
  </si>
  <si>
    <t xml:space="preserve">FB (Toronto groups) + IG</t>
  </si>
  <si>
    <t xml:space="preserve">Toronto parents 🇨🇦 — a bedtime story app made with local families in mind. Calm nights, happy mornings. #BedtimeStories #Parenting #KidsBooks #mysleepytale</t>
  </si>
  <si>
    <t xml:space="preserve">mysleepytale.com/blog/multilingual-bedtime-stories</t>
  </si>
  <si>
    <t xml:space="preserve">Multilingual Bedtime Stories</t>
  </si>
  <si>
    <t xml:space="preserve">FB + WhatsApp groups</t>
  </si>
  <si>
    <t xml:space="preserve">Raising bilingual kids? 🌍 Bedtime stories in multiple languages help them keep their mother tongue — and fall asleep. #BedtimeStories #Parenting #KidsBooks #mysleepytale</t>
  </si>
  <si>
    <t xml:space="preserve">mysleepytale.com/blog/become-a-creator</t>
  </si>
  <si>
    <t xml:space="preserve">Become a Creator</t>
  </si>
  <si>
    <t xml:space="preserve">Love telling stories? ✍️ Become a creator on mysleepytale and share your tales with families everywhere. #BedtimeStories #Parenting #KidsBooks #mysleepytale</t>
  </si>
  <si>
    <t xml:space="preserve">mysleepytale.com/blog/why-kids-love-who-would-win</t>
  </si>
  <si>
    <t xml:space="preserve">Why Kids Love 'Who Would Win'</t>
  </si>
  <si>
    <t xml:space="preserve">Jun 17</t>
  </si>
  <si>
    <t xml:space="preserve">'Who would win — a shark or a gorilla?' 🦈🦍 Ever wonder why kids are obsessed? Here's the psychology. #BedtimeStories #Parenting #KidsBooks #mysleepytale</t>
  </si>
  <si>
    <t xml:space="preserve">mysleepytale.com/blog/why-kids-love-cars-buses</t>
  </si>
  <si>
    <t xml:space="preserve">Why Kids Love Cars &amp; Buses</t>
  </si>
  <si>
    <t xml:space="preserve">🚌 Why are toddlers SO into cars and buses? The reason is adorable (and developmental). #BedtimeStories #Parenting #KidsBooks #mysleepytale</t>
  </si>
  <si>
    <t xml:space="preserve">mysleepytale.com/blog/why-kids-love-planets</t>
  </si>
  <si>
    <t xml:space="preserve">Why Kids Love Planets</t>
  </si>
  <si>
    <t xml:space="preserve">FB + IG (STEM pages)</t>
  </si>
  <si>
    <t xml:space="preserve">🪐 Space-obsessed little one? Why kids love planets — and how to feed that curiosity at bedtime. #BedtimeStories #Parenting #KidsBooks #mysleepytale</t>
  </si>
  <si>
    <t xml:space="preserve">mysleepytale.com/blog/why-kids-love-sports-stories</t>
  </si>
  <si>
    <t xml:space="preserve">Why Kids Love Sports Stories</t>
  </si>
  <si>
    <t xml:space="preserve">X + FB</t>
  </si>
  <si>
    <t xml:space="preserve">⚽🏀 Why sports stories light kids up — teamwork, heroes and big dreams. #BedtimeStories #Parenting #KidsBooks #mysleepytale</t>
  </si>
  <si>
    <t xml:space="preserve">mysleepytale.com/blog/why-kids-need-superhero-stories</t>
  </si>
  <si>
    <t xml:space="preserve">Why Kids Need Superhero Stories</t>
  </si>
  <si>
    <t xml:space="preserve">🦸 Superheroes aren't just fun — they teach courage, morality and resilience. Here's why they matter. #BedtimeStories #Parenting #KidsBooks #mysleepytale</t>
  </si>
  <si>
    <t xml:space="preserve">mysleepytale.com/blog/why-family-stories-matter</t>
  </si>
  <si>
    <t xml:space="preserve">Why Family Stories Matter</t>
  </si>
  <si>
    <t xml:space="preserve">FB + LinkedIn</t>
  </si>
  <si>
    <t xml:space="preserve">Jun 18</t>
  </si>
  <si>
    <t xml:space="preserve">The stories about YOUR family are the ones kids remember most. ❤️ Why family stories matter. #BedtimeStories #Parenting #KidsBooks #mysleepytale</t>
  </si>
  <si>
    <t xml:space="preserve">mysleepytale.com/blog/why-kids-love-countries</t>
  </si>
  <si>
    <t xml:space="preserve">Why Kids Love Countries</t>
  </si>
  <si>
    <t xml:space="preserve">FB + IG</t>
  </si>
  <si>
    <t xml:space="preserve">🌍 Kid fascinated by flags and faraway places? Why — and stories to travel the world at bedtime. #BedtimeStories #Parenting #KidsBooks #mysleepytale</t>
  </si>
  <si>
    <t xml:space="preserve">mysleepytale.com/blog/hispanic-bedtime-stories-for-kids</t>
  </si>
  <si>
    <t xml:space="preserve">Hispanic Bedtime Stories for Kids</t>
  </si>
  <si>
    <t xml:space="preserve">FB (Hispanic groups) + IG</t>
  </si>
  <si>
    <t xml:space="preserve">Cuentos para dormir 🌙 — Hispanic bedtime stories that celebrate culture and language. #BedtimeStories #Parenting #KidsBooks #mysleepytale</t>
  </si>
  <si>
    <t xml:space="preserve">mysleepytale.com/blog/belief-stories-for-kids</t>
  </si>
  <si>
    <t xml:space="preserve">Belief Stories for Kids</t>
  </si>
  <si>
    <t xml:space="preserve">Gentle belief &amp; values stories for kids — raising kind, thoughtful little humans. 🌙 #BedtimeStories #Parenting #KidsBooks #mysleepytale</t>
  </si>
  <si>
    <t xml:space="preserve">mysleepytale.com/blog/kindergarten-learning-through-bedtime-stories</t>
  </si>
  <si>
    <t xml:space="preserve">Kindergarten Learning via Stories</t>
  </si>
  <si>
    <t xml:space="preserve">FB (teacher groups) + LinkedIn</t>
  </si>
  <si>
    <t xml:space="preserve">Bedtime stories quietly teach kindergarten skills — letters, numbers, empathy — without it feeling like 'learning'. 📚 #BedtimeStories #Parenting #KidsBooks #mysleepytale</t>
  </si>
  <si>
    <t xml:space="preserve">mysleepytale.com/blog/bluey-bingo-niagara-victoria-day</t>
  </si>
  <si>
    <t xml:space="preserve">Bluey &amp; Bingo Niagara</t>
  </si>
  <si>
    <t xml:space="preserve">FB (Niagara groups) + IG</t>
  </si>
  <si>
    <t xml:space="preserve">Jun 19</t>
  </si>
  <si>
    <t xml:space="preserve">Bluey &amp; Bingo fans near Niagara this Victoria Day! 🎉 A fun family pick. #BedtimeStories #Parenting #KidsBooks #mysleepytale</t>
  </si>
  <si>
    <t xml:space="preserve">mysleepytale.com/blog/jean-lumb-kindergarten-bedtime-stories-toronto</t>
  </si>
  <si>
    <t xml:space="preserve">Jean Lumb Kindergarten Toronto</t>
  </si>
  <si>
    <t xml:space="preserve">FB (Toronto school groups)</t>
  </si>
  <si>
    <t xml:space="preserve">Shoutout to Jean Lumb families in Toronto 🍁 — bedtime stories tailored for our kindergarteners. #BedtimeStories #Parenting #KidsBooks #mysleepytale</t>
  </si>
  <si>
    <t xml:space="preserve">mysleepytale.com/blog/rainbow-kindergarten-series-2026</t>
  </si>
  <si>
    <t xml:space="preserve">Rainbow Kindergarten Series 2026</t>
  </si>
  <si>
    <t xml:space="preserve">🌈 Introducing our Rainbow Kindergarten series for 2026 — learning + calm bedtimes in one. #BedtimeStories #Parenting #KidsBooks #mysleepytale</t>
  </si>
  <si>
    <t xml:space="preserve">mysleepytale.com/blog/series-launch-animal-battles</t>
  </si>
  <si>
    <t xml:space="preserve">Series: Animal Battles</t>
  </si>
  <si>
    <t xml:space="preserve">IG + FB</t>
  </si>
  <si>
    <t xml:space="preserve">🦁🐊 New series: Animal Battles! 'Who would win?' adventures kids can't get enough of. #BedtimeStories #Parenting #KidsBooks #mysleepytale</t>
  </si>
  <si>
    <t xml:space="preserve">mysleepytale.com/blog/series-launch-little-astronaut</t>
  </si>
  <si>
    <t xml:space="preserve">Series: Little Astronaut</t>
  </si>
  <si>
    <t xml:space="preserve">IG + FB (STEM)</t>
  </si>
  <si>
    <t xml:space="preserve">🚀 New series: Little Astronaut! Blast off to dreamland with space adventures. #BedtimeStories #Parenting #KidsBooks #mysleepytale</t>
  </si>
  <si>
    <t xml:space="preserve">mysleepytale.com/blog/series-launch-camping-outdoors</t>
  </si>
  <si>
    <t xml:space="preserve">Series: Camping &amp; Outdoors</t>
  </si>
  <si>
    <t xml:space="preserve">Jun 20</t>
  </si>
  <si>
    <t xml:space="preserve">🏕️ New series: Camping &amp; Outdoors — campfires, forests and cozy sleepy adventures. #BedtimeStories #Parenting #KidsBooks #mysleepytale</t>
  </si>
  <si>
    <t xml:space="preserve">mysleepytale.com/blog/series-launch-music-lessons</t>
  </si>
  <si>
    <t xml:space="preserve">Series: Music Lessons</t>
  </si>
  <si>
    <t xml:space="preserve">🎵 New series: Music Lessons — stories that introduce kids to the joy of music. #BedtimeStories #Parenting #KidsBooks #mysleepytale</t>
  </si>
  <si>
    <t xml:space="preserve">mysleepytale.com/blog/series-launch-water-and-swim</t>
  </si>
  <si>
    <t xml:space="preserve">Series: Water &amp; Swim</t>
  </si>
  <si>
    <t xml:space="preserve">🏊 New series: Water &amp; Swim — splashy adventures and water confidence for little ones. #BedtimeStories #Parenting #KidsBooks #mysleepytale</t>
  </si>
  <si>
    <t xml:space="preserve">mysleepytale.com/blog/series-launch-maths-adventures</t>
  </si>
  <si>
    <t xml:space="preserve">Series: Maths Adventures</t>
  </si>
  <si>
    <t xml:space="preserve">FB (teacher groups) + IG</t>
  </si>
  <si>
    <t xml:space="preserve">➗ New series: Maths Adventures — numbers made magical at bedtime. #BedtimeStories #Parenting #KidsBooks #mysleepytale</t>
  </si>
  <si>
    <t xml:space="preserve">mysleepytale.com/blog/series-launch-geometry-shapes</t>
  </si>
  <si>
    <t xml:space="preserve">Series: Geometry &amp; Shapes</t>
  </si>
  <si>
    <t xml:space="preserve">🔺🔵 New series: Geometry &amp; Shapes — shape-spotting adventures for curious kids. #BedtimeStories #Parenting #KidsBooks #mysleepytale</t>
  </si>
  <si>
    <t xml:space="preserve">mysleepytale.com/blog/series-launch-discover-india</t>
  </si>
  <si>
    <t xml:space="preserve">Series: Discover India</t>
  </si>
  <si>
    <t xml:space="preserve">FB + WhatsApp</t>
  </si>
  <si>
    <t xml:space="preserve">Jun 21</t>
  </si>
  <si>
    <t xml:space="preserve">🇮🇳 New series: Discover India — culture, colours and tales from across India. #BedtimeStories #Parenting #KidsBooks #mysleepytale</t>
  </si>
  <si>
    <t xml:space="preserve">mysleepytale.com/blog/series-launch-tallest-towers</t>
  </si>
  <si>
    <t xml:space="preserve">Series: Tallest Towers</t>
  </si>
  <si>
    <t xml:space="preserve">🏗️ New series: Tallest Towers — wonders of the world for little builders. #BedtimeStories #Parenting #KidsBooks #mysleepytale</t>
  </si>
  <si>
    <t xml:space="preserve">mysleepytale.com/blog/series-launch-planets-and-stars</t>
  </si>
  <si>
    <t xml:space="preserve">Series: Planets &amp; Stars</t>
  </si>
  <si>
    <t xml:space="preserve">✨ New series: Planets &amp; Stars — a gentle tour of the night sky at bedtime. #BedtimeStories #Parenting #KidsBooks #mysleepytale</t>
  </si>
  <si>
    <t xml:space="preserve">mysleepytale.com/blog/technology-stack</t>
  </si>
  <si>
    <t xml:space="preserve">Technology Stack</t>
  </si>
  <si>
    <t xml:space="preserve">Curious how we build mysleepytale? 🛠️ A peek at our technology stack. #BuildInPublic #BedtimeStories #Parenting #KidsBooks #mysleepytale</t>
  </si>
  <si>
    <t xml:space="preserve">mysleepytale.com/blog/security-improvements-guide</t>
  </si>
  <si>
    <t xml:space="preserve">Security Improvements Guide</t>
  </si>
  <si>
    <t xml:space="preserve">Kids' safety first 🔒 — how we've strengthened security on mysleepytale. #BedtimeStories #Parenting #KidsBooks #mysleepytale</t>
  </si>
  <si>
    <t xml:space="preserve">mysleepytale.com/blog/email-notifications-guide</t>
  </si>
  <si>
    <t xml:space="preserve">Email Notifications Guide</t>
  </si>
  <si>
    <t xml:space="preserve">Jun 22</t>
  </si>
  <si>
    <t xml:space="preserve">New: smarter email notifications so you never miss a new story or series. 📩 #BedtimeStories #Parenting #KidsBooks #mysleepytale</t>
  </si>
  <si>
    <t xml:space="preserve">mysleepytale.com/blog/private-series-contributor-guide</t>
  </si>
  <si>
    <t xml:space="preserve">Private Series Contributor Guide</t>
  </si>
  <si>
    <t xml:space="preserve">LinkedIn + FB</t>
  </si>
  <si>
    <t xml:space="preserve">Want to contribute private series for your family or school? Here's the guide. ✍️ #BedtimeStories #Parenting #KidsBooks #mysleepytale</t>
  </si>
  <si>
    <t xml:space="preserve">mysleepytale.com/blog/creator-credits-guide</t>
  </si>
  <si>
    <t xml:space="preserve">Creator Credits Guide</t>
  </si>
  <si>
    <t xml:space="preserve">How creator credits work on mysleepytale — get recognised for your stories. ✍️ #BedtimeStories #Parenting #KidsBooks #mysleepytale</t>
  </si>
  <si>
    <t xml:space="preserve">mysleepytale.com/bedtime-stories-for-kids</t>
  </si>
  <si>
    <t xml:space="preserve">Landing: Bedtime Stories for Kids</t>
  </si>
  <si>
    <t xml:space="preserve">FB + X</t>
  </si>
  <si>
    <t xml:space="preserve">Bedtime stories for kids — calming tales that make nights easier for the whole family. 🌙 #BedtimeStories #Parenting #KidsBooks #mysleepytale</t>
  </si>
  <si>
    <t xml:space="preserve">mysleepytale.com/bedtime-story-app</t>
  </si>
  <si>
    <t xml:space="preserve">Landing: Bedtime Story App</t>
  </si>
  <si>
    <t xml:space="preserve">The bedtime story app built for modern families — screen-free, multilingual and soothing. 📱 #BedtimeStories #Parenting #KidsBooks #mysleepytale</t>
  </si>
  <si>
    <t xml:space="preserve">mysleepytale.com/hindu-bedtime-stories</t>
  </si>
  <si>
    <t xml:space="preserve">Landing: Hindu Bedtime Stories</t>
  </si>
  <si>
    <t xml:space="preserve">Jun 23</t>
  </si>
  <si>
    <t xml:space="preserve">🪔 Hindu bedtime stories — myths, values and gentle tales for little ones. #BedtimeStories #Parenting #KidsBooks #mysleepytale</t>
  </si>
  <si>
    <t xml:space="preserve">mysleepytale.com/islamic-stories-for-kids</t>
  </si>
  <si>
    <t xml:space="preserve">Landing: Islamic Stories for Kids</t>
  </si>
  <si>
    <t xml:space="preserve">🌙 Islamic stories for kids — faith and kindness, told gently at bedtime. #BedtimeStories #Parenting #KidsBooks #mysleepytale</t>
  </si>
  <si>
    <t xml:space="preserve">mysleepytale.com/catholic-bedtime-stories</t>
  </si>
  <si>
    <t xml:space="preserve">Landing: Catholic Bedtime Stories</t>
  </si>
  <si>
    <t xml:space="preserve">✝️ Catholic bedtime stories — faith-filled tales to end the day in peace. #BedtimeStories #Parenting #KidsBooks #mysleepytale</t>
  </si>
  <si>
    <t xml:space="preserve">mysleepytale.com/hispanic-bedtime-stories</t>
  </si>
  <si>
    <t xml:space="preserve">Landing: Hispanic Bedtime Stories</t>
  </si>
  <si>
    <t xml:space="preserve">🌙 Cuentos para niños — Hispanic bedtime stories celebrating language and culture. #BedtimeStories #Parenting #KidsBooks #mysleepytale</t>
  </si>
  <si>
    <t xml:space="preserve">mysleepytale.com/sikh-bedtime-stories</t>
  </si>
  <si>
    <t xml:space="preserve">Landing: Sikh Bedtime Stories</t>
  </si>
  <si>
    <t xml:space="preserve">🪯 Sikh bedtime stories — values, history and gentle tales for kids. #BedtimeStories #Parenting #KidsBooks #mysleepytale</t>
  </si>
  <si>
    <t xml:space="preserve">mysleepytale.com/fifa-world-cup-kids.html</t>
  </si>
  <si>
    <t xml:space="preserve">FIFA World Cup Kids (page)</t>
  </si>
  <si>
    <t xml:space="preserve">X + IG</t>
  </si>
  <si>
    <t xml:space="preserve">Jun 24</t>
  </si>
  <si>
    <t xml:space="preserve">⚽ World Cup fever for the little ones! Kid-friendly World Cup stories &amp; fun. #BedtimeStories #Parenting #KidsBooks #mysleepytale</t>
  </si>
  <si>
    <t xml:space="preserve">mysleepytale.com/fifa-world-cup-dallas-kids.html</t>
  </si>
  <si>
    <t xml:space="preserve">FIFA World Cup Dallas Kids (page)</t>
  </si>
  <si>
    <t xml:space="preserve">FB (Dallas) + X</t>
  </si>
  <si>
    <t xml:space="preserve">🤠⚽ Dallas, the World Cup is coming! Get kids in the spirit with these fun stories. #BedtimeStories #Parenting #KidsBooks #mysleepytale</t>
  </si>
  <si>
    <t xml:space="preserve">mysleepytale.com/blog/</t>
  </si>
  <si>
    <t xml:space="preserve">Blog index (SPA ⚠)</t>
  </si>
  <si>
    <t xml:space="preserve">X + LinkedIn + Reddit/Medium</t>
  </si>
  <si>
    <t xml:space="preserve">📚 Our blog is full of parenting tips, story ideas and bedtime help. Dive in! #BedtimeStories #Parenting #KidsBooks #mysleepytale</t>
  </si>
  <si>
    <t xml:space="preserve">mysleepytale.com/demo/multilingual/</t>
  </si>
  <si>
    <t xml:space="preserve">Multilingual Demo (SPA ⚠)</t>
  </si>
  <si>
    <t xml:space="preserve">X + LinkedIn + Reddit</t>
  </si>
  <si>
    <t xml:space="preserve">🌍 See it in action — try our multilingual bedtime stories demo! #BedtimeStories #Parenting #KidsBooks #mysleepytale</t>
  </si>
  <si>
    <t xml:space="preserve">mysleepytale.com/aboutus</t>
  </si>
  <si>
    <t xml:space="preserve">About Us (SPA ⚠)</t>
  </si>
  <si>
    <t xml:space="preserve">Meet the team behind mysleepytale — our mission for calmer, kinder bedtimes. 🌙 #BedtimeStories #Parenting #KidsBooks #mysleepytale</t>
  </si>
  <si>
    <t xml:space="preserve">Day</t>
  </si>
  <si>
    <t xml:space="preserve">Date</t>
  </si>
  <si>
    <t xml:space="preserve">Focus</t>
  </si>
  <si>
    <t xml:space="preserve">Social task (Track B)</t>
  </si>
  <si>
    <t xml:space="preserve">Technical task (Track A)</t>
  </si>
  <si>
    <t xml:space="preserve">Done?</t>
  </si>
  <si>
    <t xml:space="preserve">Mon Jun 15</t>
  </si>
  <si>
    <t xml:space="preserve">Kickoff + Priority 1</t>
  </si>
  <si>
    <t xml:space="preserve">Everyone shares their Day-1 link (Priority 1 set) on the suggested platform.</t>
  </si>
  <si>
    <t xml:space="preserve">Verify GSC ownership; submit/re-submit sitemap.xml; confirm it's read.</t>
  </si>
  <si>
    <t xml:space="preserve">Tue Jun 16</t>
  </si>
  <si>
    <t xml:space="preserve">Ask Google directly</t>
  </si>
  <si>
    <t xml:space="preserve">Share Day-2 link.</t>
  </si>
  <si>
    <t xml:space="preserve">URL Inspection → Request Indexing for all Priority 1 URLs.</t>
  </si>
  <si>
    <t xml:space="preserve">Wed Jun 17</t>
  </si>
  <si>
    <t xml:space="preserve">Internal links</t>
  </si>
  <si>
    <t xml:space="preserve">Share Day-3 link.</t>
  </si>
  <si>
    <t xml:space="preserve">Add links from homepage + any indexed pages to Priority 1–2 URLs.</t>
  </si>
  <si>
    <t xml:space="preserve">Thu Jun 18</t>
  </si>
  <si>
    <t xml:space="preserve">Fix the SPA pages</t>
  </si>
  <si>
    <t xml:space="preserve">Share Day-4 link.</t>
  </si>
  <si>
    <t xml:space="preserve">Start SSR/prerender or static HTML for /blog/, /demo/multilingual/, /aboutus.</t>
  </si>
  <si>
    <t xml:space="preserve">Fri Jun 19</t>
  </si>
  <si>
    <t xml:space="preserve">Finish SPA + backlinks</t>
  </si>
  <si>
    <t xml:space="preserve">Share Day-5 link.</t>
  </si>
  <si>
    <t xml:space="preserve">Finish SPA fix; add the 3 SPA URLs to sitemap; line up 2 backlink targets.</t>
  </si>
  <si>
    <t xml:space="preserve">Sat Jun 20</t>
  </si>
  <si>
    <t xml:space="preserve">Priority 2 indexing</t>
  </si>
  <si>
    <t xml:space="preserve">Share Day-6 link.</t>
  </si>
  <si>
    <t xml:space="preserve">Request Indexing for Priority 2 URLs; post 1 Medium article linking 3 blogs.</t>
  </si>
  <si>
    <t xml:space="preserve">Sun Jun 21</t>
  </si>
  <si>
    <t xml:space="preserve">Wider net</t>
  </si>
  <si>
    <t xml:space="preserve">Share Day-7 link.</t>
  </si>
  <si>
    <t xml:space="preserve">Submit all 50 via IndexNow (Bing/Yandex); 1 relevant Reddit/forum post.</t>
  </si>
  <si>
    <t xml:space="preserve">Mon Jun 22</t>
  </si>
  <si>
    <t xml:space="preserve">2nd platform push</t>
  </si>
  <si>
    <t xml:space="preserve">Re-share your 2 best Priority 1 links on a different platform.</t>
  </si>
  <si>
    <t xml:space="preserve">Request Indexing for Priority 3 URLs; check GSC coverage trend.</t>
  </si>
  <si>
    <t xml:space="preserve">Tue Jun 23</t>
  </si>
  <si>
    <t xml:space="preserve">Backlink outreach</t>
  </si>
  <si>
    <t xml:space="preserve">Share Day-9 link.</t>
  </si>
  <si>
    <t xml:space="preserve">Email 3–5 parent bloggers/partners for a link; submit to 2 directories.</t>
  </si>
  <si>
    <t xml:space="preserve">Wed Jun 24</t>
  </si>
  <si>
    <t xml:space="preserve">Last new links</t>
  </si>
  <si>
    <t xml:space="preserve">Share Day-10 link.</t>
  </si>
  <si>
    <t xml:space="preserve">Request Indexing for remaining landing pages; mid-sprint index count (site: checks).</t>
  </si>
  <si>
    <t xml:space="preserve">Thu Jun 25</t>
  </si>
  <si>
    <t xml:space="preserve">Catch stragglers</t>
  </si>
  <si>
    <t xml:space="preserve">Re-share any link still not indexed on FB/WhatsApp groups.</t>
  </si>
  <si>
    <t xml:space="preserve">List not-indexed URLs; check each for noindex/canonical/thin content issues.</t>
  </si>
  <si>
    <t xml:space="preserve">Fri Jun 26</t>
  </si>
  <si>
    <t xml:space="preserve">Internal links #2</t>
  </si>
  <si>
    <t xml:space="preserve">Team: drop links in 2 parent WhatsApp/FB groups each.</t>
  </si>
  <si>
    <t xml:space="preserve">Add internal links FROM newly-indexed pages TO the not-yet-indexed ones.</t>
  </si>
  <si>
    <t xml:space="preserve">Sat Jun 27</t>
  </si>
  <si>
    <t xml:space="preserve">Second ask</t>
  </si>
  <si>
    <t xml:space="preserve">Re-share stragglers on X/LinkedIn.</t>
  </si>
  <si>
    <t xml:space="preserve">Second Request Indexing for stubborn URLs; secure 1–2 more backlinks.</t>
  </si>
  <si>
    <t xml:space="preserve">Sun Jun 28</t>
  </si>
  <si>
    <t xml:space="preserve">Fix thin pages</t>
  </si>
  <si>
    <t xml:space="preserve">Light social re-share as needed.</t>
  </si>
  <si>
    <t xml:space="preserve">Improve any 'Crawled – not indexed' pages (unique, 600+ words, clear value).</t>
  </si>
  <si>
    <t xml:space="preserve">Mon Jun 29</t>
  </si>
  <si>
    <t xml:space="preserve">Final validation</t>
  </si>
  <si>
    <t xml:space="preserve">Celebrate wins; thank the groups that helped. 🙌</t>
  </si>
  <si>
    <t xml:space="preserve">Final site: + GSC count; log indexed total; write fix-list for any remaining.</t>
  </si>
  <si>
    <t xml:space="preserve">✅ Real indexing levers (Track A) — work top to bottom</t>
  </si>
  <si>
    <t xml:space="preserve">Task</t>
  </si>
  <si>
    <t xml:space="preserve">— GOOGLE SEARCH CONSOLE —</t>
  </si>
  <si>
    <t xml:space="preserve">Verify the domain property in Search Console</t>
  </si>
  <si>
    <t xml:space="preserve">☐ To do</t>
  </si>
  <si>
    <t xml:space="preserve">Submit / re-submit sitemap.xml and confirm 'Success'</t>
  </si>
  <si>
    <t xml:space="preserve">URL Inspection → Request Indexing for each Priority 1–2 URL (≈10–15/day quota)</t>
  </si>
  <si>
    <t xml:space="preserve">Watch the Pages report: track 'Discovered/Crawled – currently not indexed'</t>
  </si>
  <si>
    <t xml:space="preserve">— ON-SITE —</t>
  </si>
  <si>
    <t xml:space="preserve">Confirm NO 'noindex' tag and robots.txt does not block these URLs</t>
  </si>
  <si>
    <t xml:space="preserve">Check canonical tags are self-referencing (not pointing elsewhere)</t>
  </si>
  <si>
    <t xml:space="preserve">Add internal links from homepage + indexed posts to all 50 URLs</t>
  </si>
  <si>
    <t xml:space="preserve">Strengthen thin pages → unique, useful, 600+ words</t>
  </si>
  <si>
    <t xml:space="preserve">Content</t>
  </si>
  <si>
    <t xml:space="preserve">Confirm fast load + mobile-friendly (Core Web Vitals)</t>
  </si>
  <si>
    <t xml:space="preserve">Dev</t>
  </si>
  <si>
    <t xml:space="preserve">— SPA FIX (critical for /blog/, /demo/multilingual/, /aboutus) —</t>
  </si>
  <si>
    <t xml:space="preserve">Render content server-side / prerender so Googlebot sees real HTML</t>
  </si>
  <si>
    <t xml:space="preserve">Add the 3 SPA URLs to sitemap once they return static HTML</t>
  </si>
  <si>
    <t xml:space="preserve">Re-test with URL Inspection 'View crawled page' → content visible?</t>
  </si>
  <si>
    <t xml:space="preserve">— OFF-SITE / DISCOVERY —</t>
  </si>
  <si>
    <t xml:space="preserve">Run the social distribution (Link Distribution tab)</t>
  </si>
  <si>
    <t xml:space="preserve">Publish 1–2 Medium posts linking the top blogs (Google crawls Medium fast)</t>
  </si>
  <si>
    <t xml:space="preserve">Secure 3–5 real backlinks (parent blogs, directories, partners, relevant Reddit)</t>
  </si>
  <si>
    <t xml:space="preserve">Submit all URLs via IndexNow for Bing/Yandex</t>
  </si>
  <si>
    <t xml:space="preserve">— MONITOR —</t>
  </si>
  <si>
    <t xml:space="preserve">Daily 'site:mysleepytale.com/&lt;path&gt;' checks → update Status in sheet</t>
  </si>
  <si>
    <t xml:space="preserve">Day 15: log indexed count + fix-list for any stragglers</t>
  </si>
  <si>
    <t xml:space="preserve">📊 Team progress</t>
  </si>
  <si>
    <t xml:space="preserve">Person</t>
  </si>
  <si>
    <t xml:space="preserve">Links assigned</t>
  </si>
  <si>
    <t xml:space="preserve">Shared</t>
  </si>
  <si>
    <t xml:space="preserve">Indexed ✅</t>
  </si>
  <si>
    <t xml:space="preserve">% indexed</t>
  </si>
  <si>
    <t xml:space="preserve">TOTAL</t>
  </si>
  <si>
    <t xml:space="preserve">Update as you go: set Status + Indexed? in the 'Link Distribution' tab and these numbers refresh automatically. 🎯 Target by Day 15: 50/50 indexed.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</si>
</sst>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1F3A5F"/>
      <name val="Arial"/>
      <family val="0"/>
      <charset val="1"/>
    </font>
    <font>
      <i val="true"/>
      <sz val="11"/>
      <color rgb="FF5A6B7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6F3F"/>
      <name val="Arial"/>
      <family val="0"/>
      <charset val="1"/>
    </font>
    <font>
      <b val="true"/>
      <sz val="10"/>
      <color rgb="FF7A4FB0"/>
      <name val="Arial"/>
      <family val="0"/>
      <charset val="1"/>
    </font>
    <font>
      <b val="true"/>
      <sz val="10"/>
      <color rgb="FFC9821E"/>
      <name val="Arial"/>
      <family val="0"/>
      <charset val="1"/>
    </font>
    <font>
      <b val="true"/>
      <sz val="10"/>
      <color rgb="FF5A6B7B"/>
      <name val="Arial"/>
      <family val="0"/>
      <charset val="1"/>
    </font>
    <font>
      <sz val="10"/>
      <color rgb="FF1A4D8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15"/>
      <color rgb="FF1F3A5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33567F"/>
        <bgColor rgb="FF1A4D8F"/>
      </patternFill>
    </fill>
    <fill>
      <patternFill patternType="solid">
        <fgColor rgb="FFE8F0F8"/>
        <bgColor rgb="FFE7F1FD"/>
      </patternFill>
    </fill>
    <fill>
      <patternFill patternType="solid">
        <fgColor rgb="FF1F3A5F"/>
        <bgColor rgb="FF1A4D8F"/>
      </patternFill>
    </fill>
    <fill>
      <patternFill patternType="solid">
        <fgColor rgb="FFF3F8FC"/>
        <bgColor rgb="FFE9F7EC"/>
      </patternFill>
    </fill>
    <fill>
      <patternFill patternType="solid">
        <fgColor rgb="FFFFF3D6"/>
        <bgColor rgb="FFFBEFE0"/>
      </patternFill>
    </fill>
    <fill>
      <patternFill patternType="solid">
        <fgColor rgb="FFFFFFFF"/>
        <bgColor rgb="FFF3F8FC"/>
      </patternFill>
    </fill>
    <fill>
      <patternFill patternType="solid">
        <fgColor rgb="FFFDE7E9"/>
        <bgColor rgb="FFFBEFE0"/>
      </patternFill>
    </fill>
    <fill>
      <patternFill patternType="solid">
        <fgColor rgb="FFE7F1FD"/>
        <bgColor rgb="FFE8F0F8"/>
      </patternFill>
    </fill>
    <fill>
      <patternFill patternType="solid">
        <fgColor rgb="FFE9F7EC"/>
        <bgColor rgb="FFE8F0F8"/>
      </patternFill>
    </fill>
    <fill>
      <patternFill patternType="solid">
        <fgColor rgb="FFFBEFE0"/>
        <bgColor rgb="FFFFF3D6"/>
      </patternFill>
    </fill>
    <fill>
      <patternFill patternType="solid">
        <fgColor rgb="FFF0E9FB"/>
        <bgColor rgb="FFE8F0F8"/>
      </patternFill>
    </fill>
    <fill>
      <patternFill patternType="solid">
        <fgColor rgb="FFE2F0D9"/>
        <bgColor rgb="FFE9F7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EE8"/>
      </left>
      <right/>
      <top style="thin">
        <color rgb="FFD5DEE8"/>
      </top>
      <bottom style="thin">
        <color rgb="FFD5DEE8"/>
      </bottom>
      <diagonal/>
    </border>
    <border diagonalUp="false" diagonalDown="false"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F1FD"/>
          <bgColor rgb="FF000000"/>
        </patternFill>
      </fill>
    </dxf>
    <dxf>
      <fill>
        <patternFill patternType="solid">
          <fgColor rgb="FFE9F7EC"/>
          <bgColor rgb="FF000000"/>
        </patternFill>
      </fill>
    </dxf>
    <dxf>
      <fill>
        <patternFill patternType="solid">
          <fgColor rgb="FFF0E9FB"/>
          <bgColor rgb="FF000000"/>
        </patternFill>
      </fill>
    </dxf>
    <dxf>
      <fill>
        <patternFill patternType="solid">
          <fgColor rgb="FFFBEFE0"/>
          <bgColor rgb="FF000000"/>
        </patternFill>
      </fill>
    </dxf>
    <dxf>
      <fill>
        <patternFill patternType="solid">
          <fgColor rgb="FFFDE7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821E"/>
          <bgColor rgb="FF000000"/>
        </patternFill>
      </fill>
    </dxf>
    <dxf>
      <fill>
        <patternFill patternType="solid">
          <fgColor rgb="FF1A4D8F"/>
          <bgColor rgb="FF000000"/>
        </patternFill>
      </fill>
    </dxf>
    <dxf>
      <fill>
        <patternFill patternType="solid">
          <fgColor rgb="FF2222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F"/>
      <rgbColor rgb="FF000080"/>
      <rgbColor rgb="FF808000"/>
      <rgbColor rgb="FF800080"/>
      <rgbColor rgb="FF008080"/>
      <rgbColor rgb="FFF0E9FB"/>
      <rgbColor rgb="FF808080"/>
      <rgbColor rgb="FF9999FF"/>
      <rgbColor rgb="FF7A4FB0"/>
      <rgbColor rgb="FFFFF3D6"/>
      <rgbColor rgb="FFE9F7EC"/>
      <rgbColor rgb="FF660066"/>
      <rgbColor rgb="FFFF8080"/>
      <rgbColor rgb="FF33567F"/>
      <rgbColor rgb="FFD5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1FD"/>
      <rgbColor rgb="FFE2F0D9"/>
      <rgbColor rgb="FFFBEFE0"/>
      <rgbColor rgb="FFE8F0F8"/>
      <rgbColor rgb="FFF3F8FC"/>
      <rgbColor rgb="FFCC99FF"/>
      <rgbColor rgb="FFFDE7E9"/>
      <rgbColor rgb="FF3366FF"/>
      <rgbColor rgb="FF33CCCC"/>
      <rgbColor rgb="FF99CC00"/>
      <rgbColor rgb="FFFFCC00"/>
      <rgbColor rgb="FFC9821E"/>
      <rgbColor rgb="FFFF6600"/>
      <rgbColor rgb="FF5A6B7B"/>
      <rgbColor rgb="FF969696"/>
      <rgbColor rgb="FF1F3A5F"/>
      <rgbColor rgb="FF339966"/>
      <rgbColor rgb="FF003300"/>
      <rgbColor rgb="FF333300"/>
      <rgbColor rgb="FF993300"/>
      <rgbColor rgb="FF993366"/>
      <rgbColor rgb="FF1A4D8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0"/>
    <col collapsed="false" customWidth="true" hidden="false" outlineLevel="0" max="5" min="4" style="0" width="22"/>
    <col collapsed="false" customWidth="true" hidden="false" outlineLevel="0" max="6" min="6" style="0" width="4"/>
  </cols>
  <sheetData>
    <row r="2" customFormat="false" ht="31.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24" hidden="false" customHeight="true" outlineLevel="0" collapsed="false">
      <c r="B5" s="3" t="s">
        <v>2</v>
      </c>
      <c r="C5" s="3"/>
      <c r="D5" s="3"/>
      <c r="E5" s="3"/>
    </row>
    <row r="6" customFormat="false" ht="45.75" hidden="false" customHeight="true" outlineLevel="0" collapsed="false">
      <c r="B6" s="4" t="s">
        <v>3</v>
      </c>
      <c r="C6" s="5" t="s">
        <v>4</v>
      </c>
      <c r="D6" s="5"/>
      <c r="E6" s="5"/>
    </row>
    <row r="7" customFormat="false" ht="45.75" hidden="false" customHeight="true" outlineLevel="0" collapsed="false">
      <c r="B7" s="4" t="s">
        <v>5</v>
      </c>
      <c r="C7" s="5" t="s">
        <v>6</v>
      </c>
      <c r="D7" s="5"/>
      <c r="E7" s="5"/>
    </row>
    <row r="8" customFormat="false" ht="45.75" hidden="false" customHeight="true" outlineLevel="0" collapsed="false">
      <c r="B8" s="4" t="s">
        <v>7</v>
      </c>
      <c r="C8" s="5" t="s">
        <v>8</v>
      </c>
      <c r="D8" s="5"/>
      <c r="E8" s="5"/>
    </row>
    <row r="10" customFormat="false" ht="24" hidden="false" customHeight="true" outlineLevel="0" collapsed="false">
      <c r="B10" s="3" t="s">
        <v>9</v>
      </c>
      <c r="C10" s="3"/>
      <c r="D10" s="3"/>
      <c r="E10" s="3"/>
    </row>
    <row r="11" customFormat="false" ht="51.75" hidden="false" customHeight="true" outlineLevel="0" collapsed="false">
      <c r="B11" s="6" t="s">
        <v>10</v>
      </c>
      <c r="C11" s="7" t="s">
        <v>11</v>
      </c>
      <c r="D11" s="7"/>
      <c r="E11" s="7"/>
    </row>
    <row r="12" customFormat="false" ht="51.75" hidden="false" customHeight="true" outlineLevel="0" collapsed="false">
      <c r="B12" s="6" t="s">
        <v>12</v>
      </c>
      <c r="C12" s="7" t="s">
        <v>13</v>
      </c>
      <c r="D12" s="7"/>
      <c r="E12" s="7"/>
    </row>
    <row r="14" customFormat="false" ht="24" hidden="false" customHeight="true" outlineLevel="0" collapsed="false">
      <c r="B14" s="3" t="s">
        <v>14</v>
      </c>
      <c r="C14" s="3"/>
      <c r="D14" s="3"/>
      <c r="E14" s="3"/>
    </row>
    <row r="15" customFormat="false" ht="24" hidden="false" customHeight="true" outlineLevel="0" collapsed="false">
      <c r="B15" s="7" t="s">
        <v>15</v>
      </c>
      <c r="C15" s="7"/>
      <c r="D15" s="7"/>
      <c r="E15" s="7"/>
    </row>
    <row r="16" customFormat="false" ht="24" hidden="false" customHeight="true" outlineLevel="0" collapsed="false">
      <c r="B16" s="7" t="s">
        <v>16</v>
      </c>
      <c r="C16" s="7"/>
      <c r="D16" s="7"/>
      <c r="E16" s="7"/>
    </row>
    <row r="17" customFormat="false" ht="24" hidden="false" customHeight="true" outlineLevel="0" collapsed="false">
      <c r="B17" s="7" t="s">
        <v>17</v>
      </c>
      <c r="C17" s="7"/>
      <c r="D17" s="7"/>
      <c r="E17" s="7"/>
    </row>
    <row r="18" customFormat="false" ht="24" hidden="false" customHeight="true" outlineLevel="0" collapsed="false">
      <c r="B18" s="7" t="s">
        <v>18</v>
      </c>
      <c r="C18" s="7"/>
      <c r="D18" s="7"/>
      <c r="E18" s="7"/>
    </row>
    <row r="20" customFormat="false" ht="60" hidden="false" customHeight="true" outlineLevel="0" collapsed="false">
      <c r="B20" s="8" t="s">
        <v>19</v>
      </c>
      <c r="C20" s="8"/>
      <c r="D20" s="8"/>
      <c r="E20" s="8"/>
    </row>
  </sheetData>
  <mergeCells count="15">
    <mergeCell ref="B2:E2"/>
    <mergeCell ref="B3:E3"/>
    <mergeCell ref="B5:E5"/>
    <mergeCell ref="C6:E6"/>
    <mergeCell ref="C7:E7"/>
    <mergeCell ref="C8:E8"/>
    <mergeCell ref="B10:E10"/>
    <mergeCell ref="C11:E11"/>
    <mergeCell ref="C12:E12"/>
    <mergeCell ref="B14:E14"/>
    <mergeCell ref="B15:E15"/>
    <mergeCell ref="B16:E16"/>
    <mergeCell ref="B17:E17"/>
    <mergeCell ref="B18:E18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9"/>
  </cols>
  <sheetData>
    <row r="1" customFormat="false" ht="27.75" hidden="false" customHeight="true" outlineLevel="0" collapsed="false">
      <c r="A1" s="9" t="s">
        <v>20</v>
      </c>
      <c r="B1" s="10" t="s">
        <v>21</v>
      </c>
      <c r="C1" s="10" t="s">
        <v>22</v>
      </c>
      <c r="D1" s="9" t="s">
        <v>23</v>
      </c>
      <c r="E1" s="9" t="s">
        <v>24</v>
      </c>
      <c r="F1" s="9" t="s">
        <v>25</v>
      </c>
    </row>
    <row r="2" customFormat="false" ht="45.75" hidden="false" customHeight="true" outlineLevel="0" collapsed="false">
      <c r="A2" s="11" t="n">
        <v>1</v>
      </c>
      <c r="B2" s="12" t="s">
        <v>26</v>
      </c>
      <c r="C2" s="13" t="s">
        <v>27</v>
      </c>
      <c r="D2" s="14" t="s">
        <v>28</v>
      </c>
      <c r="E2" s="15" t="s">
        <v>24</v>
      </c>
      <c r="F2" s="16" t="s">
        <v>29</v>
      </c>
    </row>
    <row r="3" customFormat="false" ht="45.75" hidden="false" customHeight="true" outlineLevel="0" collapsed="false">
      <c r="A3" s="17" t="n">
        <v>2</v>
      </c>
      <c r="B3" s="18" t="s">
        <v>30</v>
      </c>
      <c r="C3" s="19" t="s">
        <v>31</v>
      </c>
      <c r="D3" s="20" t="s">
        <v>28</v>
      </c>
      <c r="E3" s="21" t="s">
        <v>24</v>
      </c>
      <c r="F3" s="22" t="s">
        <v>32</v>
      </c>
    </row>
    <row r="4" customFormat="false" ht="45.75" hidden="false" customHeight="true" outlineLevel="0" collapsed="false">
      <c r="A4" s="11" t="n">
        <v>3</v>
      </c>
      <c r="B4" s="12" t="s">
        <v>33</v>
      </c>
      <c r="C4" s="13" t="s">
        <v>34</v>
      </c>
      <c r="D4" s="14" t="s">
        <v>28</v>
      </c>
      <c r="E4" s="15" t="s">
        <v>24</v>
      </c>
      <c r="F4" s="16" t="s">
        <v>35</v>
      </c>
    </row>
    <row r="5" customFormat="false" ht="45.75" hidden="false" customHeight="true" outlineLevel="0" collapsed="false">
      <c r="A5" s="17" t="n">
        <v>4</v>
      </c>
      <c r="B5" s="18" t="s">
        <v>36</v>
      </c>
      <c r="C5" s="19" t="s">
        <v>37</v>
      </c>
      <c r="D5" s="20" t="s">
        <v>28</v>
      </c>
      <c r="E5" s="21" t="s">
        <v>38</v>
      </c>
      <c r="F5" s="22" t="s">
        <v>39</v>
      </c>
    </row>
    <row r="6" customFormat="false" ht="45.75" hidden="false" customHeight="true" outlineLevel="0" collapsed="false">
      <c r="A6" s="11" t="n">
        <v>5</v>
      </c>
      <c r="B6" s="12" t="s">
        <v>40</v>
      </c>
      <c r="C6" s="13" t="s">
        <v>41</v>
      </c>
      <c r="D6" s="14" t="s">
        <v>28</v>
      </c>
      <c r="E6" s="15" t="s">
        <v>24</v>
      </c>
      <c r="F6" s="16" t="s">
        <v>42</v>
      </c>
    </row>
    <row r="7" customFormat="false" ht="45.75" hidden="false" customHeight="true" outlineLevel="0" collapsed="false">
      <c r="A7" s="17" t="n">
        <v>6</v>
      </c>
      <c r="B7" s="18" t="s">
        <v>43</v>
      </c>
      <c r="C7" s="19" t="s">
        <v>44</v>
      </c>
      <c r="D7" s="20" t="s">
        <v>28</v>
      </c>
      <c r="E7" s="21" t="s">
        <v>24</v>
      </c>
      <c r="F7" s="22" t="s">
        <v>45</v>
      </c>
    </row>
    <row r="8" customFormat="false" ht="45.75" hidden="false" customHeight="true" outlineLevel="0" collapsed="false">
      <c r="A8" s="11" t="n">
        <v>7</v>
      </c>
      <c r="B8" s="12" t="s">
        <v>46</v>
      </c>
      <c r="C8" s="13" t="s">
        <v>47</v>
      </c>
      <c r="D8" s="23" t="s">
        <v>48</v>
      </c>
      <c r="E8" s="15" t="s">
        <v>49</v>
      </c>
      <c r="F8" s="16" t="s">
        <v>50</v>
      </c>
    </row>
    <row r="9" customFormat="false" ht="45.75" hidden="false" customHeight="true" outlineLevel="0" collapsed="false">
      <c r="A9" s="17" t="n">
        <v>8</v>
      </c>
      <c r="B9" s="18" t="s">
        <v>51</v>
      </c>
      <c r="C9" s="19" t="s">
        <v>52</v>
      </c>
      <c r="D9" s="24" t="s">
        <v>53</v>
      </c>
      <c r="E9" s="21" t="s">
        <v>54</v>
      </c>
      <c r="F9" s="22" t="s">
        <v>55</v>
      </c>
    </row>
    <row r="10" customFormat="false" ht="45.75" hidden="false" customHeight="true" outlineLevel="0" collapsed="false">
      <c r="A10" s="11" t="n">
        <v>9</v>
      </c>
      <c r="B10" s="12" t="s">
        <v>56</v>
      </c>
      <c r="C10" s="13" t="s">
        <v>57</v>
      </c>
      <c r="D10" s="25" t="s">
        <v>53</v>
      </c>
      <c r="E10" s="15" t="s">
        <v>54</v>
      </c>
      <c r="F10" s="16" t="s">
        <v>58</v>
      </c>
    </row>
    <row r="11" customFormat="false" ht="45.75" hidden="false" customHeight="true" outlineLevel="0" collapsed="false">
      <c r="A11" s="17" t="n">
        <v>10</v>
      </c>
      <c r="B11" s="18" t="s">
        <v>59</v>
      </c>
      <c r="C11" s="19" t="s">
        <v>60</v>
      </c>
      <c r="D11" s="20" t="s">
        <v>28</v>
      </c>
      <c r="E11" s="21" t="s">
        <v>61</v>
      </c>
      <c r="F11" s="22" t="s">
        <v>62</v>
      </c>
    </row>
    <row r="12" customFormat="false" ht="45.75" hidden="false" customHeight="true" outlineLevel="0" collapsed="false">
      <c r="A12" s="11" t="n">
        <v>11</v>
      </c>
      <c r="B12" s="12" t="s">
        <v>63</v>
      </c>
      <c r="C12" s="13" t="s">
        <v>64</v>
      </c>
      <c r="D12" s="26" t="s">
        <v>65</v>
      </c>
      <c r="E12" s="15" t="s">
        <v>24</v>
      </c>
      <c r="F12" s="16" t="s">
        <v>66</v>
      </c>
    </row>
    <row r="13" customFormat="false" ht="45.75" hidden="false" customHeight="true" outlineLevel="0" collapsed="false">
      <c r="A13" s="17" t="n">
        <v>12</v>
      </c>
      <c r="B13" s="18" t="s">
        <v>67</v>
      </c>
      <c r="C13" s="19" t="s">
        <v>68</v>
      </c>
      <c r="D13" s="27" t="s">
        <v>65</v>
      </c>
      <c r="E13" s="21" t="s">
        <v>24</v>
      </c>
      <c r="F13" s="2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70"/>
    <col collapsed="false" customWidth="true" hidden="false" outlineLevel="0" max="9" min="9" style="0" width="14"/>
    <col collapsed="false" customWidth="true" hidden="false" outlineLevel="0" max="10" min="10" style="0" width="11"/>
  </cols>
  <sheetData>
    <row r="1" customFormat="false" ht="30" hidden="false" customHeight="true" outlineLevel="0" collapsed="false">
      <c r="A1" s="9" t="s">
        <v>20</v>
      </c>
      <c r="B1" s="9" t="s">
        <v>70</v>
      </c>
      <c r="C1" s="10" t="s">
        <v>71</v>
      </c>
      <c r="D1" s="10" t="s">
        <v>72</v>
      </c>
      <c r="E1" s="9" t="s">
        <v>24</v>
      </c>
      <c r="F1" s="10" t="s">
        <v>73</v>
      </c>
      <c r="G1" s="9" t="s">
        <v>74</v>
      </c>
      <c r="H1" s="10" t="s">
        <v>75</v>
      </c>
      <c r="I1" s="9" t="s">
        <v>76</v>
      </c>
      <c r="J1" s="9" t="s">
        <v>77</v>
      </c>
    </row>
    <row r="2" customFormat="false" ht="69.75" hidden="false" customHeight="true" outlineLevel="0" collapsed="false">
      <c r="A2" s="28" t="n">
        <v>1</v>
      </c>
      <c r="B2" s="29" t="n">
        <v>1</v>
      </c>
      <c r="C2" s="30" t="s">
        <v>78</v>
      </c>
      <c r="D2" s="31" t="s">
        <v>79</v>
      </c>
      <c r="E2" s="32" t="s">
        <v>80</v>
      </c>
      <c r="F2" s="33" t="s">
        <v>81</v>
      </c>
      <c r="G2" s="34" t="s">
        <v>82</v>
      </c>
      <c r="H2" s="33" t="s">
        <v>83</v>
      </c>
      <c r="I2" s="34" t="s">
        <v>84</v>
      </c>
      <c r="J2" s="34" t="s">
        <v>85</v>
      </c>
    </row>
    <row r="3" customFormat="false" ht="69.75" hidden="false" customHeight="true" outlineLevel="0" collapsed="false">
      <c r="A3" s="35" t="n">
        <v>2</v>
      </c>
      <c r="B3" s="36" t="n">
        <v>1</v>
      </c>
      <c r="C3" s="37" t="s">
        <v>86</v>
      </c>
      <c r="D3" s="38" t="s">
        <v>87</v>
      </c>
      <c r="E3" s="39" t="s">
        <v>88</v>
      </c>
      <c r="F3" s="40" t="s">
        <v>89</v>
      </c>
      <c r="G3" s="41" t="s">
        <v>82</v>
      </c>
      <c r="H3" s="40" t="s">
        <v>90</v>
      </c>
      <c r="I3" s="41" t="s">
        <v>84</v>
      </c>
      <c r="J3" s="41" t="s">
        <v>85</v>
      </c>
    </row>
    <row r="4" customFormat="false" ht="69.75" hidden="false" customHeight="true" outlineLevel="0" collapsed="false">
      <c r="A4" s="42" t="n">
        <v>3</v>
      </c>
      <c r="B4" s="43" t="n">
        <v>1</v>
      </c>
      <c r="C4" s="44" t="s">
        <v>91</v>
      </c>
      <c r="D4" s="45" t="s">
        <v>92</v>
      </c>
      <c r="E4" s="46" t="s">
        <v>93</v>
      </c>
      <c r="F4" s="47" t="s">
        <v>94</v>
      </c>
      <c r="G4" s="48" t="s">
        <v>82</v>
      </c>
      <c r="H4" s="47" t="s">
        <v>95</v>
      </c>
      <c r="I4" s="48" t="s">
        <v>84</v>
      </c>
      <c r="J4" s="48" t="s">
        <v>85</v>
      </c>
    </row>
    <row r="5" customFormat="false" ht="69.75" hidden="false" customHeight="true" outlineLevel="0" collapsed="false">
      <c r="A5" s="49" t="n">
        <v>4</v>
      </c>
      <c r="B5" s="50" t="n">
        <v>1</v>
      </c>
      <c r="C5" s="51" t="s">
        <v>96</v>
      </c>
      <c r="D5" s="52" t="s">
        <v>97</v>
      </c>
      <c r="E5" s="53" t="s">
        <v>98</v>
      </c>
      <c r="F5" s="54" t="s">
        <v>99</v>
      </c>
      <c r="G5" s="55" t="s">
        <v>82</v>
      </c>
      <c r="H5" s="54" t="s">
        <v>100</v>
      </c>
      <c r="I5" s="55" t="s">
        <v>84</v>
      </c>
      <c r="J5" s="55" t="s">
        <v>85</v>
      </c>
    </row>
    <row r="6" customFormat="false" ht="69.75" hidden="false" customHeight="true" outlineLevel="0" collapsed="false">
      <c r="A6" s="56" t="n">
        <v>5</v>
      </c>
      <c r="B6" s="57" t="n">
        <v>1</v>
      </c>
      <c r="C6" s="58" t="s">
        <v>101</v>
      </c>
      <c r="D6" s="59" t="s">
        <v>102</v>
      </c>
      <c r="E6" s="60" t="s">
        <v>103</v>
      </c>
      <c r="F6" s="61" t="s">
        <v>104</v>
      </c>
      <c r="G6" s="62" t="s">
        <v>82</v>
      </c>
      <c r="H6" s="61" t="s">
        <v>105</v>
      </c>
      <c r="I6" s="62" t="s">
        <v>84</v>
      </c>
      <c r="J6" s="62" t="s">
        <v>85</v>
      </c>
    </row>
    <row r="7" customFormat="false" ht="69.75" hidden="false" customHeight="true" outlineLevel="0" collapsed="false">
      <c r="A7" s="28" t="n">
        <v>6</v>
      </c>
      <c r="B7" s="29" t="n">
        <v>1</v>
      </c>
      <c r="C7" s="30" t="s">
        <v>106</v>
      </c>
      <c r="D7" s="31" t="s">
        <v>107</v>
      </c>
      <c r="E7" s="32" t="s">
        <v>80</v>
      </c>
      <c r="F7" s="33" t="s">
        <v>108</v>
      </c>
      <c r="G7" s="34" t="s">
        <v>109</v>
      </c>
      <c r="H7" s="33" t="s">
        <v>110</v>
      </c>
      <c r="I7" s="34" t="s">
        <v>84</v>
      </c>
      <c r="J7" s="34" t="s">
        <v>85</v>
      </c>
    </row>
    <row r="8" customFormat="false" ht="69.75" hidden="false" customHeight="true" outlineLevel="0" collapsed="false">
      <c r="A8" s="35" t="n">
        <v>7</v>
      </c>
      <c r="B8" s="36" t="n">
        <v>1</v>
      </c>
      <c r="C8" s="37" t="s">
        <v>111</v>
      </c>
      <c r="D8" s="38" t="s">
        <v>112</v>
      </c>
      <c r="E8" s="39" t="s">
        <v>88</v>
      </c>
      <c r="F8" s="40" t="s">
        <v>113</v>
      </c>
      <c r="G8" s="41" t="s">
        <v>109</v>
      </c>
      <c r="H8" s="40" t="s">
        <v>114</v>
      </c>
      <c r="I8" s="41" t="s">
        <v>84</v>
      </c>
      <c r="J8" s="41" t="s">
        <v>85</v>
      </c>
    </row>
    <row r="9" customFormat="false" ht="69.75" hidden="false" customHeight="true" outlineLevel="0" collapsed="false">
      <c r="A9" s="42" t="n">
        <v>8</v>
      </c>
      <c r="B9" s="43" t="n">
        <v>1</v>
      </c>
      <c r="C9" s="44" t="s">
        <v>115</v>
      </c>
      <c r="D9" s="45" t="s">
        <v>116</v>
      </c>
      <c r="E9" s="46" t="s">
        <v>93</v>
      </c>
      <c r="F9" s="47" t="s">
        <v>117</v>
      </c>
      <c r="G9" s="48" t="s">
        <v>109</v>
      </c>
      <c r="H9" s="47" t="s">
        <v>118</v>
      </c>
      <c r="I9" s="48" t="s">
        <v>84</v>
      </c>
      <c r="J9" s="48" t="s">
        <v>85</v>
      </c>
    </row>
    <row r="10" customFormat="false" ht="69.75" hidden="false" customHeight="true" outlineLevel="0" collapsed="false">
      <c r="A10" s="49" t="n">
        <v>9</v>
      </c>
      <c r="B10" s="50" t="n">
        <v>1</v>
      </c>
      <c r="C10" s="51" t="s">
        <v>119</v>
      </c>
      <c r="D10" s="52" t="s">
        <v>120</v>
      </c>
      <c r="E10" s="53" t="s">
        <v>98</v>
      </c>
      <c r="F10" s="54" t="s">
        <v>121</v>
      </c>
      <c r="G10" s="55" t="s">
        <v>109</v>
      </c>
      <c r="H10" s="54" t="s">
        <v>122</v>
      </c>
      <c r="I10" s="55" t="s">
        <v>84</v>
      </c>
      <c r="J10" s="55" t="s">
        <v>85</v>
      </c>
    </row>
    <row r="11" customFormat="false" ht="69.75" hidden="false" customHeight="true" outlineLevel="0" collapsed="false">
      <c r="A11" s="56" t="n">
        <v>10</v>
      </c>
      <c r="B11" s="57" t="n">
        <v>1</v>
      </c>
      <c r="C11" s="58" t="s">
        <v>123</v>
      </c>
      <c r="D11" s="59" t="s">
        <v>124</v>
      </c>
      <c r="E11" s="60" t="s">
        <v>103</v>
      </c>
      <c r="F11" s="61" t="s">
        <v>113</v>
      </c>
      <c r="G11" s="62" t="s">
        <v>109</v>
      </c>
      <c r="H11" s="61" t="s">
        <v>125</v>
      </c>
      <c r="I11" s="62" t="s">
        <v>84</v>
      </c>
      <c r="J11" s="62" t="s">
        <v>85</v>
      </c>
    </row>
    <row r="12" customFormat="false" ht="69.75" hidden="false" customHeight="true" outlineLevel="0" collapsed="false">
      <c r="A12" s="28" t="n">
        <v>11</v>
      </c>
      <c r="B12" s="29" t="n">
        <v>2</v>
      </c>
      <c r="C12" s="30" t="s">
        <v>126</v>
      </c>
      <c r="D12" s="31" t="s">
        <v>127</v>
      </c>
      <c r="E12" s="32" t="s">
        <v>80</v>
      </c>
      <c r="F12" s="33" t="s">
        <v>94</v>
      </c>
      <c r="G12" s="34" t="s">
        <v>128</v>
      </c>
      <c r="H12" s="33" t="s">
        <v>129</v>
      </c>
      <c r="I12" s="34" t="s">
        <v>84</v>
      </c>
      <c r="J12" s="34" t="s">
        <v>85</v>
      </c>
    </row>
    <row r="13" customFormat="false" ht="69.75" hidden="false" customHeight="true" outlineLevel="0" collapsed="false">
      <c r="A13" s="35" t="n">
        <v>12</v>
      </c>
      <c r="B13" s="36" t="n">
        <v>2</v>
      </c>
      <c r="C13" s="37" t="s">
        <v>130</v>
      </c>
      <c r="D13" s="38" t="s">
        <v>131</v>
      </c>
      <c r="E13" s="39" t="s">
        <v>88</v>
      </c>
      <c r="F13" s="40" t="s">
        <v>94</v>
      </c>
      <c r="G13" s="41" t="s">
        <v>128</v>
      </c>
      <c r="H13" s="40" t="s">
        <v>132</v>
      </c>
      <c r="I13" s="41" t="s">
        <v>84</v>
      </c>
      <c r="J13" s="41" t="s">
        <v>85</v>
      </c>
    </row>
    <row r="14" customFormat="false" ht="69.75" hidden="false" customHeight="true" outlineLevel="0" collapsed="false">
      <c r="A14" s="42" t="n">
        <v>13</v>
      </c>
      <c r="B14" s="43" t="n">
        <v>2</v>
      </c>
      <c r="C14" s="44" t="s">
        <v>133</v>
      </c>
      <c r="D14" s="45" t="s">
        <v>134</v>
      </c>
      <c r="E14" s="46" t="s">
        <v>93</v>
      </c>
      <c r="F14" s="47" t="s">
        <v>135</v>
      </c>
      <c r="G14" s="48" t="s">
        <v>128</v>
      </c>
      <c r="H14" s="47" t="s">
        <v>136</v>
      </c>
      <c r="I14" s="48" t="s">
        <v>84</v>
      </c>
      <c r="J14" s="48" t="s">
        <v>85</v>
      </c>
    </row>
    <row r="15" customFormat="false" ht="69.75" hidden="false" customHeight="true" outlineLevel="0" collapsed="false">
      <c r="A15" s="49" t="n">
        <v>14</v>
      </c>
      <c r="B15" s="50" t="n">
        <v>2</v>
      </c>
      <c r="C15" s="51" t="s">
        <v>137</v>
      </c>
      <c r="D15" s="52" t="s">
        <v>138</v>
      </c>
      <c r="E15" s="53" t="s">
        <v>98</v>
      </c>
      <c r="F15" s="54" t="s">
        <v>139</v>
      </c>
      <c r="G15" s="55" t="s">
        <v>128</v>
      </c>
      <c r="H15" s="54" t="s">
        <v>140</v>
      </c>
      <c r="I15" s="55" t="s">
        <v>84</v>
      </c>
      <c r="J15" s="55" t="s">
        <v>85</v>
      </c>
    </row>
    <row r="16" customFormat="false" ht="69.75" hidden="false" customHeight="true" outlineLevel="0" collapsed="false">
      <c r="A16" s="56" t="n">
        <v>15</v>
      </c>
      <c r="B16" s="57" t="n">
        <v>2</v>
      </c>
      <c r="C16" s="58" t="s">
        <v>141</v>
      </c>
      <c r="D16" s="59" t="s">
        <v>142</v>
      </c>
      <c r="E16" s="60" t="s">
        <v>103</v>
      </c>
      <c r="F16" s="61" t="s">
        <v>94</v>
      </c>
      <c r="G16" s="62" t="s">
        <v>128</v>
      </c>
      <c r="H16" s="61" t="s">
        <v>143</v>
      </c>
      <c r="I16" s="62" t="s">
        <v>84</v>
      </c>
      <c r="J16" s="62" t="s">
        <v>85</v>
      </c>
    </row>
    <row r="17" customFormat="false" ht="69.75" hidden="false" customHeight="true" outlineLevel="0" collapsed="false">
      <c r="A17" s="28" t="n">
        <v>16</v>
      </c>
      <c r="B17" s="29" t="n">
        <v>2</v>
      </c>
      <c r="C17" s="30" t="s">
        <v>144</v>
      </c>
      <c r="D17" s="31" t="s">
        <v>145</v>
      </c>
      <c r="E17" s="32" t="s">
        <v>80</v>
      </c>
      <c r="F17" s="33" t="s">
        <v>146</v>
      </c>
      <c r="G17" s="34" t="s">
        <v>147</v>
      </c>
      <c r="H17" s="33" t="s">
        <v>148</v>
      </c>
      <c r="I17" s="34" t="s">
        <v>84</v>
      </c>
      <c r="J17" s="34" t="s">
        <v>85</v>
      </c>
    </row>
    <row r="18" customFormat="false" ht="69.75" hidden="false" customHeight="true" outlineLevel="0" collapsed="false">
      <c r="A18" s="35" t="n">
        <v>17</v>
      </c>
      <c r="B18" s="36" t="n">
        <v>2</v>
      </c>
      <c r="C18" s="37" t="s">
        <v>149</v>
      </c>
      <c r="D18" s="38" t="s">
        <v>150</v>
      </c>
      <c r="E18" s="39" t="s">
        <v>88</v>
      </c>
      <c r="F18" s="40" t="s">
        <v>151</v>
      </c>
      <c r="G18" s="41" t="s">
        <v>147</v>
      </c>
      <c r="H18" s="40" t="s">
        <v>152</v>
      </c>
      <c r="I18" s="41" t="s">
        <v>84</v>
      </c>
      <c r="J18" s="41" t="s">
        <v>85</v>
      </c>
    </row>
    <row r="19" customFormat="false" ht="69.75" hidden="false" customHeight="true" outlineLevel="0" collapsed="false">
      <c r="A19" s="42" t="n">
        <v>18</v>
      </c>
      <c r="B19" s="43" t="n">
        <v>3</v>
      </c>
      <c r="C19" s="44" t="s">
        <v>153</v>
      </c>
      <c r="D19" s="45" t="s">
        <v>154</v>
      </c>
      <c r="E19" s="46" t="s">
        <v>93</v>
      </c>
      <c r="F19" s="47" t="s">
        <v>155</v>
      </c>
      <c r="G19" s="48" t="s">
        <v>147</v>
      </c>
      <c r="H19" s="47" t="s">
        <v>156</v>
      </c>
      <c r="I19" s="48" t="s">
        <v>84</v>
      </c>
      <c r="J19" s="48" t="s">
        <v>85</v>
      </c>
    </row>
    <row r="20" customFormat="false" ht="69.75" hidden="false" customHeight="true" outlineLevel="0" collapsed="false">
      <c r="A20" s="49" t="n">
        <v>19</v>
      </c>
      <c r="B20" s="50" t="n">
        <v>3</v>
      </c>
      <c r="C20" s="51" t="s">
        <v>157</v>
      </c>
      <c r="D20" s="52" t="s">
        <v>158</v>
      </c>
      <c r="E20" s="53" t="s">
        <v>98</v>
      </c>
      <c r="F20" s="54" t="s">
        <v>104</v>
      </c>
      <c r="G20" s="55" t="s">
        <v>147</v>
      </c>
      <c r="H20" s="54" t="s">
        <v>159</v>
      </c>
      <c r="I20" s="55" t="s">
        <v>84</v>
      </c>
      <c r="J20" s="55" t="s">
        <v>85</v>
      </c>
    </row>
    <row r="21" customFormat="false" ht="69.75" hidden="false" customHeight="true" outlineLevel="0" collapsed="false">
      <c r="A21" s="56" t="n">
        <v>20</v>
      </c>
      <c r="B21" s="57" t="n">
        <v>3</v>
      </c>
      <c r="C21" s="58" t="s">
        <v>160</v>
      </c>
      <c r="D21" s="59" t="s">
        <v>161</v>
      </c>
      <c r="E21" s="60" t="s">
        <v>103</v>
      </c>
      <c r="F21" s="61" t="s">
        <v>162</v>
      </c>
      <c r="G21" s="62" t="s">
        <v>147</v>
      </c>
      <c r="H21" s="61" t="s">
        <v>163</v>
      </c>
      <c r="I21" s="62" t="s">
        <v>84</v>
      </c>
      <c r="J21" s="62" t="s">
        <v>85</v>
      </c>
    </row>
    <row r="22" customFormat="false" ht="69.75" hidden="false" customHeight="true" outlineLevel="0" collapsed="false">
      <c r="A22" s="28" t="n">
        <v>21</v>
      </c>
      <c r="B22" s="29" t="n">
        <v>3</v>
      </c>
      <c r="C22" s="30" t="s">
        <v>164</v>
      </c>
      <c r="D22" s="31" t="s">
        <v>165</v>
      </c>
      <c r="E22" s="32" t="s">
        <v>80</v>
      </c>
      <c r="F22" s="33" t="s">
        <v>166</v>
      </c>
      <c r="G22" s="34" t="s">
        <v>167</v>
      </c>
      <c r="H22" s="33" t="s">
        <v>168</v>
      </c>
      <c r="I22" s="34" t="s">
        <v>84</v>
      </c>
      <c r="J22" s="34" t="s">
        <v>85</v>
      </c>
    </row>
    <row r="23" customFormat="false" ht="69.75" hidden="false" customHeight="true" outlineLevel="0" collapsed="false">
      <c r="A23" s="35" t="n">
        <v>22</v>
      </c>
      <c r="B23" s="36" t="n">
        <v>3</v>
      </c>
      <c r="C23" s="37" t="s">
        <v>169</v>
      </c>
      <c r="D23" s="38" t="s">
        <v>170</v>
      </c>
      <c r="E23" s="39" t="s">
        <v>88</v>
      </c>
      <c r="F23" s="40" t="s">
        <v>171</v>
      </c>
      <c r="G23" s="41" t="s">
        <v>167</v>
      </c>
      <c r="H23" s="40" t="s">
        <v>172</v>
      </c>
      <c r="I23" s="41" t="s">
        <v>84</v>
      </c>
      <c r="J23" s="41" t="s">
        <v>85</v>
      </c>
    </row>
    <row r="24" customFormat="false" ht="69.75" hidden="false" customHeight="true" outlineLevel="0" collapsed="false">
      <c r="A24" s="42" t="n">
        <v>23</v>
      </c>
      <c r="B24" s="43" t="n">
        <v>3</v>
      </c>
      <c r="C24" s="44" t="s">
        <v>173</v>
      </c>
      <c r="D24" s="45" t="s">
        <v>174</v>
      </c>
      <c r="E24" s="46" t="s">
        <v>93</v>
      </c>
      <c r="F24" s="47" t="s">
        <v>151</v>
      </c>
      <c r="G24" s="48" t="s">
        <v>167</v>
      </c>
      <c r="H24" s="47" t="s">
        <v>175</v>
      </c>
      <c r="I24" s="48" t="s">
        <v>84</v>
      </c>
      <c r="J24" s="48" t="s">
        <v>85</v>
      </c>
    </row>
    <row r="25" customFormat="false" ht="69.75" hidden="false" customHeight="true" outlineLevel="0" collapsed="false">
      <c r="A25" s="49" t="n">
        <v>24</v>
      </c>
      <c r="B25" s="50" t="n">
        <v>4</v>
      </c>
      <c r="C25" s="51" t="s">
        <v>176</v>
      </c>
      <c r="D25" s="52" t="s">
        <v>177</v>
      </c>
      <c r="E25" s="53" t="s">
        <v>98</v>
      </c>
      <c r="F25" s="54" t="s">
        <v>178</v>
      </c>
      <c r="G25" s="55" t="s">
        <v>167</v>
      </c>
      <c r="H25" s="54" t="s">
        <v>179</v>
      </c>
      <c r="I25" s="55" t="s">
        <v>84</v>
      </c>
      <c r="J25" s="55" t="s">
        <v>85</v>
      </c>
    </row>
    <row r="26" customFormat="false" ht="69.75" hidden="false" customHeight="true" outlineLevel="0" collapsed="false">
      <c r="A26" s="56" t="n">
        <v>25</v>
      </c>
      <c r="B26" s="57" t="n">
        <v>4</v>
      </c>
      <c r="C26" s="58" t="s">
        <v>180</v>
      </c>
      <c r="D26" s="59" t="s">
        <v>181</v>
      </c>
      <c r="E26" s="60" t="s">
        <v>103</v>
      </c>
      <c r="F26" s="61" t="s">
        <v>182</v>
      </c>
      <c r="G26" s="62" t="s">
        <v>167</v>
      </c>
      <c r="H26" s="61" t="s">
        <v>183</v>
      </c>
      <c r="I26" s="62" t="s">
        <v>84</v>
      </c>
      <c r="J26" s="62" t="s">
        <v>85</v>
      </c>
    </row>
    <row r="27" customFormat="false" ht="69.75" hidden="false" customHeight="true" outlineLevel="0" collapsed="false">
      <c r="A27" s="28" t="n">
        <v>26</v>
      </c>
      <c r="B27" s="29" t="n">
        <v>4</v>
      </c>
      <c r="C27" s="30" t="s">
        <v>184</v>
      </c>
      <c r="D27" s="31" t="s">
        <v>185</v>
      </c>
      <c r="E27" s="32" t="s">
        <v>80</v>
      </c>
      <c r="F27" s="33" t="s">
        <v>178</v>
      </c>
      <c r="G27" s="34" t="s">
        <v>186</v>
      </c>
      <c r="H27" s="33" t="s">
        <v>187</v>
      </c>
      <c r="I27" s="34" t="s">
        <v>84</v>
      </c>
      <c r="J27" s="34" t="s">
        <v>85</v>
      </c>
    </row>
    <row r="28" customFormat="false" ht="69.75" hidden="false" customHeight="true" outlineLevel="0" collapsed="false">
      <c r="A28" s="35" t="n">
        <v>27</v>
      </c>
      <c r="B28" s="36" t="n">
        <v>4</v>
      </c>
      <c r="C28" s="37" t="s">
        <v>188</v>
      </c>
      <c r="D28" s="38" t="s">
        <v>189</v>
      </c>
      <c r="E28" s="39" t="s">
        <v>88</v>
      </c>
      <c r="F28" s="40" t="s">
        <v>178</v>
      </c>
      <c r="G28" s="41" t="s">
        <v>186</v>
      </c>
      <c r="H28" s="40" t="s">
        <v>190</v>
      </c>
      <c r="I28" s="41" t="s">
        <v>84</v>
      </c>
      <c r="J28" s="41" t="s">
        <v>85</v>
      </c>
    </row>
    <row r="29" customFormat="false" ht="69.75" hidden="false" customHeight="true" outlineLevel="0" collapsed="false">
      <c r="A29" s="42" t="n">
        <v>28</v>
      </c>
      <c r="B29" s="43" t="n">
        <v>4</v>
      </c>
      <c r="C29" s="44" t="s">
        <v>191</v>
      </c>
      <c r="D29" s="45" t="s">
        <v>192</v>
      </c>
      <c r="E29" s="46" t="s">
        <v>93</v>
      </c>
      <c r="F29" s="47" t="s">
        <v>178</v>
      </c>
      <c r="G29" s="48" t="s">
        <v>186</v>
      </c>
      <c r="H29" s="47" t="s">
        <v>193</v>
      </c>
      <c r="I29" s="48" t="s">
        <v>84</v>
      </c>
      <c r="J29" s="48" t="s">
        <v>85</v>
      </c>
    </row>
    <row r="30" customFormat="false" ht="69.75" hidden="false" customHeight="true" outlineLevel="0" collapsed="false">
      <c r="A30" s="49" t="n">
        <v>29</v>
      </c>
      <c r="B30" s="50" t="n">
        <v>4</v>
      </c>
      <c r="C30" s="51" t="s">
        <v>194</v>
      </c>
      <c r="D30" s="52" t="s">
        <v>195</v>
      </c>
      <c r="E30" s="53" t="s">
        <v>98</v>
      </c>
      <c r="F30" s="54" t="s">
        <v>196</v>
      </c>
      <c r="G30" s="55" t="s">
        <v>186</v>
      </c>
      <c r="H30" s="54" t="s">
        <v>197</v>
      </c>
      <c r="I30" s="55" t="s">
        <v>84</v>
      </c>
      <c r="J30" s="55" t="s">
        <v>85</v>
      </c>
    </row>
    <row r="31" customFormat="false" ht="69.75" hidden="false" customHeight="true" outlineLevel="0" collapsed="false">
      <c r="A31" s="56" t="n">
        <v>30</v>
      </c>
      <c r="B31" s="57" t="n">
        <v>4</v>
      </c>
      <c r="C31" s="58" t="s">
        <v>198</v>
      </c>
      <c r="D31" s="59" t="s">
        <v>199</v>
      </c>
      <c r="E31" s="60" t="s">
        <v>103</v>
      </c>
      <c r="F31" s="61" t="s">
        <v>196</v>
      </c>
      <c r="G31" s="62" t="s">
        <v>186</v>
      </c>
      <c r="H31" s="61" t="s">
        <v>200</v>
      </c>
      <c r="I31" s="62" t="s">
        <v>84</v>
      </c>
      <c r="J31" s="62" t="s">
        <v>85</v>
      </c>
    </row>
    <row r="32" customFormat="false" ht="69.75" hidden="false" customHeight="true" outlineLevel="0" collapsed="false">
      <c r="A32" s="28" t="n">
        <v>31</v>
      </c>
      <c r="B32" s="29" t="n">
        <v>4</v>
      </c>
      <c r="C32" s="30" t="s">
        <v>201</v>
      </c>
      <c r="D32" s="31" t="s">
        <v>202</v>
      </c>
      <c r="E32" s="32" t="s">
        <v>80</v>
      </c>
      <c r="F32" s="33" t="s">
        <v>203</v>
      </c>
      <c r="G32" s="34" t="s">
        <v>204</v>
      </c>
      <c r="H32" s="33" t="s">
        <v>205</v>
      </c>
      <c r="I32" s="34" t="s">
        <v>84</v>
      </c>
      <c r="J32" s="34" t="s">
        <v>85</v>
      </c>
    </row>
    <row r="33" customFormat="false" ht="69.75" hidden="false" customHeight="true" outlineLevel="0" collapsed="false">
      <c r="A33" s="35" t="n">
        <v>32</v>
      </c>
      <c r="B33" s="36" t="n">
        <v>4</v>
      </c>
      <c r="C33" s="37" t="s">
        <v>206</v>
      </c>
      <c r="D33" s="38" t="s">
        <v>207</v>
      </c>
      <c r="E33" s="39" t="s">
        <v>88</v>
      </c>
      <c r="F33" s="40" t="s">
        <v>178</v>
      </c>
      <c r="G33" s="41" t="s">
        <v>204</v>
      </c>
      <c r="H33" s="40" t="s">
        <v>208</v>
      </c>
      <c r="I33" s="41" t="s">
        <v>84</v>
      </c>
      <c r="J33" s="41" t="s">
        <v>85</v>
      </c>
    </row>
    <row r="34" customFormat="false" ht="69.75" hidden="false" customHeight="true" outlineLevel="0" collapsed="false">
      <c r="A34" s="42" t="n">
        <v>33</v>
      </c>
      <c r="B34" s="43" t="n">
        <v>4</v>
      </c>
      <c r="C34" s="44" t="s">
        <v>209</v>
      </c>
      <c r="D34" s="45" t="s">
        <v>210</v>
      </c>
      <c r="E34" s="46" t="s">
        <v>93</v>
      </c>
      <c r="F34" s="47" t="s">
        <v>182</v>
      </c>
      <c r="G34" s="48" t="s">
        <v>204</v>
      </c>
      <c r="H34" s="47" t="s">
        <v>211</v>
      </c>
      <c r="I34" s="48" t="s">
        <v>84</v>
      </c>
      <c r="J34" s="48" t="s">
        <v>85</v>
      </c>
    </row>
    <row r="35" customFormat="false" ht="69.75" hidden="false" customHeight="true" outlineLevel="0" collapsed="false">
      <c r="A35" s="49" t="n">
        <v>34</v>
      </c>
      <c r="B35" s="50" t="n">
        <v>4</v>
      </c>
      <c r="C35" s="51" t="s">
        <v>212</v>
      </c>
      <c r="D35" s="52" t="s">
        <v>213</v>
      </c>
      <c r="E35" s="53" t="s">
        <v>98</v>
      </c>
      <c r="F35" s="54" t="s">
        <v>113</v>
      </c>
      <c r="G35" s="55" t="s">
        <v>204</v>
      </c>
      <c r="H35" s="54" t="s">
        <v>214</v>
      </c>
      <c r="I35" s="55" t="s">
        <v>84</v>
      </c>
      <c r="J35" s="55" t="s">
        <v>85</v>
      </c>
    </row>
    <row r="36" customFormat="false" ht="69.75" hidden="false" customHeight="true" outlineLevel="0" collapsed="false">
      <c r="A36" s="56" t="n">
        <v>35</v>
      </c>
      <c r="B36" s="57" t="n">
        <v>4</v>
      </c>
      <c r="C36" s="58" t="s">
        <v>215</v>
      </c>
      <c r="D36" s="59" t="s">
        <v>216</v>
      </c>
      <c r="E36" s="60" t="s">
        <v>103</v>
      </c>
      <c r="F36" s="61" t="s">
        <v>113</v>
      </c>
      <c r="G36" s="62" t="s">
        <v>204</v>
      </c>
      <c r="H36" s="61" t="s">
        <v>217</v>
      </c>
      <c r="I36" s="62" t="s">
        <v>84</v>
      </c>
      <c r="J36" s="62" t="s">
        <v>85</v>
      </c>
    </row>
    <row r="37" customFormat="false" ht="69.75" hidden="false" customHeight="true" outlineLevel="0" collapsed="false">
      <c r="A37" s="28" t="n">
        <v>36</v>
      </c>
      <c r="B37" s="29" t="n">
        <v>4</v>
      </c>
      <c r="C37" s="30" t="s">
        <v>218</v>
      </c>
      <c r="D37" s="31" t="s">
        <v>219</v>
      </c>
      <c r="E37" s="32" t="s">
        <v>80</v>
      </c>
      <c r="F37" s="33" t="s">
        <v>113</v>
      </c>
      <c r="G37" s="34" t="s">
        <v>220</v>
      </c>
      <c r="H37" s="33" t="s">
        <v>221</v>
      </c>
      <c r="I37" s="34" t="s">
        <v>84</v>
      </c>
      <c r="J37" s="34" t="s">
        <v>85</v>
      </c>
    </row>
    <row r="38" customFormat="false" ht="69.75" hidden="false" customHeight="true" outlineLevel="0" collapsed="false">
      <c r="A38" s="35" t="n">
        <v>37</v>
      </c>
      <c r="B38" s="36" t="n">
        <v>4</v>
      </c>
      <c r="C38" s="37" t="s">
        <v>222</v>
      </c>
      <c r="D38" s="38" t="s">
        <v>223</v>
      </c>
      <c r="E38" s="39" t="s">
        <v>88</v>
      </c>
      <c r="F38" s="40" t="s">
        <v>224</v>
      </c>
      <c r="G38" s="41" t="s">
        <v>220</v>
      </c>
      <c r="H38" s="40" t="s">
        <v>225</v>
      </c>
      <c r="I38" s="41" t="s">
        <v>84</v>
      </c>
      <c r="J38" s="41" t="s">
        <v>85</v>
      </c>
    </row>
    <row r="39" customFormat="false" ht="69.75" hidden="false" customHeight="true" outlineLevel="0" collapsed="false">
      <c r="A39" s="42" t="n">
        <v>38</v>
      </c>
      <c r="B39" s="43" t="n">
        <v>4</v>
      </c>
      <c r="C39" s="44" t="s">
        <v>226</v>
      </c>
      <c r="D39" s="45" t="s">
        <v>227</v>
      </c>
      <c r="E39" s="46" t="s">
        <v>93</v>
      </c>
      <c r="F39" s="47" t="s">
        <v>113</v>
      </c>
      <c r="G39" s="48" t="s">
        <v>220</v>
      </c>
      <c r="H39" s="47" t="s">
        <v>228</v>
      </c>
      <c r="I39" s="48" t="s">
        <v>84</v>
      </c>
      <c r="J39" s="48" t="s">
        <v>85</v>
      </c>
    </row>
    <row r="40" customFormat="false" ht="69.75" hidden="false" customHeight="true" outlineLevel="0" collapsed="false">
      <c r="A40" s="49" t="n">
        <v>39</v>
      </c>
      <c r="B40" s="50" t="n">
        <v>5</v>
      </c>
      <c r="C40" s="51" t="s">
        <v>229</v>
      </c>
      <c r="D40" s="52" t="s">
        <v>230</v>
      </c>
      <c r="E40" s="53" t="s">
        <v>98</v>
      </c>
      <c r="F40" s="54" t="s">
        <v>231</v>
      </c>
      <c r="G40" s="55" t="s">
        <v>220</v>
      </c>
      <c r="H40" s="54" t="s">
        <v>232</v>
      </c>
      <c r="I40" s="55" t="s">
        <v>84</v>
      </c>
      <c r="J40" s="55" t="s">
        <v>85</v>
      </c>
    </row>
    <row r="41" customFormat="false" ht="69.75" hidden="false" customHeight="true" outlineLevel="0" collapsed="false">
      <c r="A41" s="56" t="n">
        <v>40</v>
      </c>
      <c r="B41" s="57" t="n">
        <v>5</v>
      </c>
      <c r="C41" s="58" t="s">
        <v>233</v>
      </c>
      <c r="D41" s="59" t="s">
        <v>234</v>
      </c>
      <c r="E41" s="60" t="s">
        <v>103</v>
      </c>
      <c r="F41" s="61" t="s">
        <v>231</v>
      </c>
      <c r="G41" s="62" t="s">
        <v>220</v>
      </c>
      <c r="H41" s="61" t="s">
        <v>235</v>
      </c>
      <c r="I41" s="62" t="s">
        <v>84</v>
      </c>
      <c r="J41" s="62" t="s">
        <v>85</v>
      </c>
    </row>
    <row r="42" customFormat="false" ht="69.75" hidden="false" customHeight="true" outlineLevel="0" collapsed="false">
      <c r="A42" s="28" t="n">
        <v>41</v>
      </c>
      <c r="B42" s="29" t="n">
        <v>5</v>
      </c>
      <c r="C42" s="30" t="s">
        <v>236</v>
      </c>
      <c r="D42" s="31" t="s">
        <v>237</v>
      </c>
      <c r="E42" s="32" t="s">
        <v>80</v>
      </c>
      <c r="F42" s="33" t="s">
        <v>104</v>
      </c>
      <c r="G42" s="34" t="s">
        <v>238</v>
      </c>
      <c r="H42" s="33" t="s">
        <v>239</v>
      </c>
      <c r="I42" s="34" t="s">
        <v>84</v>
      </c>
      <c r="J42" s="34" t="s">
        <v>85</v>
      </c>
    </row>
    <row r="43" customFormat="false" ht="69.75" hidden="false" customHeight="true" outlineLevel="0" collapsed="false">
      <c r="A43" s="35" t="n">
        <v>42</v>
      </c>
      <c r="B43" s="36" t="n">
        <v>5</v>
      </c>
      <c r="C43" s="37" t="s">
        <v>240</v>
      </c>
      <c r="D43" s="38" t="s">
        <v>241</v>
      </c>
      <c r="E43" s="39" t="s">
        <v>88</v>
      </c>
      <c r="F43" s="40" t="s">
        <v>108</v>
      </c>
      <c r="G43" s="41" t="s">
        <v>238</v>
      </c>
      <c r="H43" s="40" t="s">
        <v>242</v>
      </c>
      <c r="I43" s="41" t="s">
        <v>84</v>
      </c>
      <c r="J43" s="41" t="s">
        <v>85</v>
      </c>
    </row>
    <row r="44" customFormat="false" ht="69.75" hidden="false" customHeight="true" outlineLevel="0" collapsed="false">
      <c r="A44" s="42" t="n">
        <v>43</v>
      </c>
      <c r="B44" s="43" t="n">
        <v>5</v>
      </c>
      <c r="C44" s="44" t="s">
        <v>243</v>
      </c>
      <c r="D44" s="45" t="s">
        <v>244</v>
      </c>
      <c r="E44" s="46" t="s">
        <v>93</v>
      </c>
      <c r="F44" s="47" t="s">
        <v>108</v>
      </c>
      <c r="G44" s="48" t="s">
        <v>238</v>
      </c>
      <c r="H44" s="47" t="s">
        <v>245</v>
      </c>
      <c r="I44" s="48" t="s">
        <v>84</v>
      </c>
      <c r="J44" s="48" t="s">
        <v>85</v>
      </c>
    </row>
    <row r="45" customFormat="false" ht="69.75" hidden="false" customHeight="true" outlineLevel="0" collapsed="false">
      <c r="A45" s="49" t="n">
        <v>44</v>
      </c>
      <c r="B45" s="50" t="n">
        <v>5</v>
      </c>
      <c r="C45" s="51" t="s">
        <v>246</v>
      </c>
      <c r="D45" s="52" t="s">
        <v>247</v>
      </c>
      <c r="E45" s="53" t="s">
        <v>98</v>
      </c>
      <c r="F45" s="54" t="s">
        <v>108</v>
      </c>
      <c r="G45" s="55" t="s">
        <v>238</v>
      </c>
      <c r="H45" s="54" t="s">
        <v>248</v>
      </c>
      <c r="I45" s="55" t="s">
        <v>84</v>
      </c>
      <c r="J45" s="55" t="s">
        <v>85</v>
      </c>
    </row>
    <row r="46" customFormat="false" ht="69.75" hidden="false" customHeight="true" outlineLevel="0" collapsed="false">
      <c r="A46" s="56" t="n">
        <v>45</v>
      </c>
      <c r="B46" s="57" t="n">
        <v>5</v>
      </c>
      <c r="C46" s="58" t="s">
        <v>249</v>
      </c>
      <c r="D46" s="59" t="s">
        <v>250</v>
      </c>
      <c r="E46" s="60" t="s">
        <v>103</v>
      </c>
      <c r="F46" s="61" t="s">
        <v>104</v>
      </c>
      <c r="G46" s="62" t="s">
        <v>238</v>
      </c>
      <c r="H46" s="61" t="s">
        <v>251</v>
      </c>
      <c r="I46" s="62" t="s">
        <v>84</v>
      </c>
      <c r="J46" s="62" t="s">
        <v>85</v>
      </c>
    </row>
    <row r="47" customFormat="false" ht="69.75" hidden="false" customHeight="true" outlineLevel="0" collapsed="false">
      <c r="A47" s="28" t="n">
        <v>46</v>
      </c>
      <c r="B47" s="29" t="n">
        <v>5</v>
      </c>
      <c r="C47" s="30" t="s">
        <v>252</v>
      </c>
      <c r="D47" s="31" t="s">
        <v>253</v>
      </c>
      <c r="E47" s="32" t="s">
        <v>80</v>
      </c>
      <c r="F47" s="33" t="s">
        <v>254</v>
      </c>
      <c r="G47" s="34" t="s">
        <v>255</v>
      </c>
      <c r="H47" s="33" t="s">
        <v>256</v>
      </c>
      <c r="I47" s="34" t="s">
        <v>84</v>
      </c>
      <c r="J47" s="34" t="s">
        <v>85</v>
      </c>
    </row>
    <row r="48" customFormat="false" ht="69.75" hidden="false" customHeight="true" outlineLevel="0" collapsed="false">
      <c r="A48" s="35" t="n">
        <v>47</v>
      </c>
      <c r="B48" s="36" t="n">
        <v>5</v>
      </c>
      <c r="C48" s="37" t="s">
        <v>257</v>
      </c>
      <c r="D48" s="38" t="s">
        <v>258</v>
      </c>
      <c r="E48" s="39" t="s">
        <v>88</v>
      </c>
      <c r="F48" s="40" t="s">
        <v>259</v>
      </c>
      <c r="G48" s="41" t="s">
        <v>255</v>
      </c>
      <c r="H48" s="40" t="s">
        <v>260</v>
      </c>
      <c r="I48" s="41" t="s">
        <v>84</v>
      </c>
      <c r="J48" s="41" t="s">
        <v>85</v>
      </c>
    </row>
    <row r="49" customFormat="false" ht="69.75" hidden="false" customHeight="true" outlineLevel="0" collapsed="false">
      <c r="A49" s="42" t="n">
        <v>48</v>
      </c>
      <c r="B49" s="43" t="n">
        <v>6</v>
      </c>
      <c r="C49" s="44" t="s">
        <v>261</v>
      </c>
      <c r="D49" s="45" t="s">
        <v>262</v>
      </c>
      <c r="E49" s="46" t="s">
        <v>93</v>
      </c>
      <c r="F49" s="47" t="s">
        <v>263</v>
      </c>
      <c r="G49" s="48" t="s">
        <v>255</v>
      </c>
      <c r="H49" s="47" t="s">
        <v>264</v>
      </c>
      <c r="I49" s="48" t="s">
        <v>84</v>
      </c>
      <c r="J49" s="48" t="s">
        <v>85</v>
      </c>
    </row>
    <row r="50" customFormat="false" ht="69.75" hidden="false" customHeight="true" outlineLevel="0" collapsed="false">
      <c r="A50" s="49" t="n">
        <v>49</v>
      </c>
      <c r="B50" s="50" t="n">
        <v>6</v>
      </c>
      <c r="C50" s="51" t="s">
        <v>265</v>
      </c>
      <c r="D50" s="52" t="s">
        <v>266</v>
      </c>
      <c r="E50" s="53" t="s">
        <v>98</v>
      </c>
      <c r="F50" s="54" t="s">
        <v>267</v>
      </c>
      <c r="G50" s="55" t="s">
        <v>255</v>
      </c>
      <c r="H50" s="54" t="s">
        <v>268</v>
      </c>
      <c r="I50" s="55" t="s">
        <v>84</v>
      </c>
      <c r="J50" s="55" t="s">
        <v>85</v>
      </c>
    </row>
    <row r="51" customFormat="false" ht="69.75" hidden="false" customHeight="true" outlineLevel="0" collapsed="false">
      <c r="A51" s="56" t="n">
        <v>50</v>
      </c>
      <c r="B51" s="57" t="n">
        <v>6</v>
      </c>
      <c r="C51" s="58" t="s">
        <v>269</v>
      </c>
      <c r="D51" s="59" t="s">
        <v>270</v>
      </c>
      <c r="E51" s="60" t="s">
        <v>103</v>
      </c>
      <c r="F51" s="61" t="s">
        <v>113</v>
      </c>
      <c r="G51" s="62" t="s">
        <v>255</v>
      </c>
      <c r="H51" s="61" t="s">
        <v>271</v>
      </c>
      <c r="I51" s="62" t="s">
        <v>84</v>
      </c>
      <c r="J51" s="62" t="s">
        <v>85</v>
      </c>
    </row>
  </sheetData>
  <autoFilter ref="A1:J51"/>
  <dataValidations count="2">
    <dataValidation allowBlank="true" errorStyle="stop" operator="between" showDropDown="false" showErrorMessage="false" showInputMessage="false" sqref="I2:I51" type="list">
      <formula1>"Not shared,Shared,Re-shared"</formula1>
      <formula2>0</formula2>
    </dataValidation>
    <dataValidation allowBlank="true" errorStyle="stop" operator="between" showDropDown="false" showErrorMessage="false" showInputMessage="false" sqref="J2:J51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9" t="s">
        <v>272</v>
      </c>
      <c r="B1" s="9" t="s">
        <v>273</v>
      </c>
      <c r="C1" s="10" t="s">
        <v>274</v>
      </c>
      <c r="D1" s="10" t="s">
        <v>275</v>
      </c>
      <c r="E1" s="10" t="s">
        <v>276</v>
      </c>
      <c r="F1" s="9" t="s">
        <v>277</v>
      </c>
    </row>
    <row r="2" customFormat="false" ht="43.5" hidden="false" customHeight="true" outlineLevel="0" collapsed="false">
      <c r="A2" s="11" t="n">
        <v>1</v>
      </c>
      <c r="B2" s="63" t="s">
        <v>278</v>
      </c>
      <c r="C2" s="12" t="s">
        <v>279</v>
      </c>
      <c r="D2" s="13" t="s">
        <v>280</v>
      </c>
      <c r="E2" s="13" t="s">
        <v>281</v>
      </c>
      <c r="F2" s="15"/>
    </row>
    <row r="3" customFormat="false" ht="43.5" hidden="false" customHeight="true" outlineLevel="0" collapsed="false">
      <c r="A3" s="17" t="n">
        <v>2</v>
      </c>
      <c r="B3" s="64" t="s">
        <v>282</v>
      </c>
      <c r="C3" s="18" t="s">
        <v>283</v>
      </c>
      <c r="D3" s="19" t="s">
        <v>284</v>
      </c>
      <c r="E3" s="19" t="s">
        <v>285</v>
      </c>
      <c r="F3" s="21"/>
    </row>
    <row r="4" customFormat="false" ht="43.5" hidden="false" customHeight="true" outlineLevel="0" collapsed="false">
      <c r="A4" s="11" t="n">
        <v>3</v>
      </c>
      <c r="B4" s="63" t="s">
        <v>286</v>
      </c>
      <c r="C4" s="12" t="s">
        <v>287</v>
      </c>
      <c r="D4" s="13" t="s">
        <v>288</v>
      </c>
      <c r="E4" s="13" t="s">
        <v>289</v>
      </c>
      <c r="F4" s="15"/>
    </row>
    <row r="5" customFormat="false" ht="43.5" hidden="false" customHeight="true" outlineLevel="0" collapsed="false">
      <c r="A5" s="17" t="n">
        <v>4</v>
      </c>
      <c r="B5" s="64" t="s">
        <v>290</v>
      </c>
      <c r="C5" s="18" t="s">
        <v>291</v>
      </c>
      <c r="D5" s="19" t="s">
        <v>292</v>
      </c>
      <c r="E5" s="19" t="s">
        <v>293</v>
      </c>
      <c r="F5" s="21"/>
    </row>
    <row r="6" customFormat="false" ht="43.5" hidden="false" customHeight="true" outlineLevel="0" collapsed="false">
      <c r="A6" s="11" t="n">
        <v>5</v>
      </c>
      <c r="B6" s="63" t="s">
        <v>294</v>
      </c>
      <c r="C6" s="12" t="s">
        <v>295</v>
      </c>
      <c r="D6" s="13" t="s">
        <v>296</v>
      </c>
      <c r="E6" s="13" t="s">
        <v>297</v>
      </c>
      <c r="F6" s="15"/>
    </row>
    <row r="7" customFormat="false" ht="43.5" hidden="false" customHeight="true" outlineLevel="0" collapsed="false">
      <c r="A7" s="17" t="n">
        <v>6</v>
      </c>
      <c r="B7" s="64" t="s">
        <v>298</v>
      </c>
      <c r="C7" s="18" t="s">
        <v>299</v>
      </c>
      <c r="D7" s="19" t="s">
        <v>300</v>
      </c>
      <c r="E7" s="19" t="s">
        <v>301</v>
      </c>
      <c r="F7" s="21"/>
    </row>
    <row r="8" customFormat="false" ht="43.5" hidden="false" customHeight="true" outlineLevel="0" collapsed="false">
      <c r="A8" s="11" t="n">
        <v>7</v>
      </c>
      <c r="B8" s="63" t="s">
        <v>302</v>
      </c>
      <c r="C8" s="12" t="s">
        <v>303</v>
      </c>
      <c r="D8" s="13" t="s">
        <v>304</v>
      </c>
      <c r="E8" s="13" t="s">
        <v>305</v>
      </c>
      <c r="F8" s="15"/>
    </row>
    <row r="9" customFormat="false" ht="43.5" hidden="false" customHeight="true" outlineLevel="0" collapsed="false">
      <c r="A9" s="17" t="n">
        <v>8</v>
      </c>
      <c r="B9" s="64" t="s">
        <v>306</v>
      </c>
      <c r="C9" s="18" t="s">
        <v>307</v>
      </c>
      <c r="D9" s="19" t="s">
        <v>308</v>
      </c>
      <c r="E9" s="19" t="s">
        <v>309</v>
      </c>
      <c r="F9" s="21"/>
    </row>
    <row r="10" customFormat="false" ht="43.5" hidden="false" customHeight="true" outlineLevel="0" collapsed="false">
      <c r="A10" s="11" t="n">
        <v>9</v>
      </c>
      <c r="B10" s="63" t="s">
        <v>310</v>
      </c>
      <c r="C10" s="12" t="s">
        <v>311</v>
      </c>
      <c r="D10" s="13" t="s">
        <v>312</v>
      </c>
      <c r="E10" s="13" t="s">
        <v>313</v>
      </c>
      <c r="F10" s="15"/>
    </row>
    <row r="11" customFormat="false" ht="43.5" hidden="false" customHeight="true" outlineLevel="0" collapsed="false">
      <c r="A11" s="17" t="n">
        <v>10</v>
      </c>
      <c r="B11" s="64" t="s">
        <v>314</v>
      </c>
      <c r="C11" s="18" t="s">
        <v>315</v>
      </c>
      <c r="D11" s="19" t="s">
        <v>316</v>
      </c>
      <c r="E11" s="19" t="s">
        <v>317</v>
      </c>
      <c r="F11" s="21"/>
    </row>
    <row r="12" customFormat="false" ht="43.5" hidden="false" customHeight="true" outlineLevel="0" collapsed="false">
      <c r="A12" s="65" t="n">
        <v>11</v>
      </c>
      <c r="B12" s="66" t="s">
        <v>318</v>
      </c>
      <c r="C12" s="67" t="s">
        <v>319</v>
      </c>
      <c r="D12" s="68" t="s">
        <v>320</v>
      </c>
      <c r="E12" s="68" t="s">
        <v>321</v>
      </c>
      <c r="F12" s="69"/>
    </row>
    <row r="13" customFormat="false" ht="43.5" hidden="false" customHeight="true" outlineLevel="0" collapsed="false">
      <c r="A13" s="65" t="n">
        <v>12</v>
      </c>
      <c r="B13" s="66" t="s">
        <v>322</v>
      </c>
      <c r="C13" s="67" t="s">
        <v>323</v>
      </c>
      <c r="D13" s="68" t="s">
        <v>324</v>
      </c>
      <c r="E13" s="68" t="s">
        <v>325</v>
      </c>
      <c r="F13" s="69"/>
    </row>
    <row r="14" customFormat="false" ht="43.5" hidden="false" customHeight="true" outlineLevel="0" collapsed="false">
      <c r="A14" s="65" t="n">
        <v>13</v>
      </c>
      <c r="B14" s="66" t="s">
        <v>326</v>
      </c>
      <c r="C14" s="67" t="s">
        <v>327</v>
      </c>
      <c r="D14" s="68" t="s">
        <v>328</v>
      </c>
      <c r="E14" s="68" t="s">
        <v>329</v>
      </c>
      <c r="F14" s="69"/>
    </row>
    <row r="15" customFormat="false" ht="43.5" hidden="false" customHeight="true" outlineLevel="0" collapsed="false">
      <c r="A15" s="65" t="n">
        <v>14</v>
      </c>
      <c r="B15" s="66" t="s">
        <v>330</v>
      </c>
      <c r="C15" s="67" t="s">
        <v>331</v>
      </c>
      <c r="D15" s="68" t="s">
        <v>332</v>
      </c>
      <c r="E15" s="68" t="s">
        <v>333</v>
      </c>
      <c r="F15" s="69"/>
    </row>
    <row r="16" customFormat="false" ht="43.5" hidden="false" customHeight="true" outlineLevel="0" collapsed="false">
      <c r="A16" s="65" t="n">
        <v>15</v>
      </c>
      <c r="B16" s="66" t="s">
        <v>334</v>
      </c>
      <c r="C16" s="67" t="s">
        <v>335</v>
      </c>
      <c r="D16" s="68" t="s">
        <v>336</v>
      </c>
      <c r="E16" s="68" t="s">
        <v>337</v>
      </c>
      <c r="F16" s="69"/>
    </row>
  </sheetData>
  <dataValidations count="1">
    <dataValidation allowBlank="true" errorStyle="stop" operator="between" showDropDown="false" showErrorMessage="false" showInputMessage="false" sqref="F2:F16" type="list">
      <formula1>"☐,Done 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4"/>
    <col collapsed="false" customWidth="true" hidden="false" outlineLevel="0" max="3" min="3" style="0" width="16"/>
    <col collapsed="false" customWidth="true" hidden="false" outlineLevel="0" max="4" min="4" style="0" width="14"/>
  </cols>
  <sheetData>
    <row r="2" customFormat="false" ht="27.75" hidden="false" customHeight="true" outlineLevel="0" collapsed="false">
      <c r="B2" s="70" t="s">
        <v>338</v>
      </c>
      <c r="C2" s="70"/>
      <c r="D2" s="70"/>
    </row>
    <row r="4" customFormat="false" ht="21.75" hidden="false" customHeight="true" outlineLevel="0" collapsed="false">
      <c r="B4" s="71" t="s">
        <v>339</v>
      </c>
      <c r="C4" s="72" t="s">
        <v>24</v>
      </c>
      <c r="D4" s="72" t="s">
        <v>76</v>
      </c>
    </row>
    <row r="5" customFormat="false" ht="21.75" hidden="false" customHeight="true" outlineLevel="0" collapsed="false">
      <c r="B5" s="73" t="s">
        <v>340</v>
      </c>
      <c r="C5" s="73"/>
      <c r="D5" s="73"/>
    </row>
    <row r="6" customFormat="false" ht="30" hidden="false" customHeight="true" outlineLevel="0" collapsed="false">
      <c r="B6" s="13" t="s">
        <v>341</v>
      </c>
      <c r="C6" s="15" t="s">
        <v>24</v>
      </c>
      <c r="D6" s="15" t="s">
        <v>342</v>
      </c>
    </row>
    <row r="7" customFormat="false" ht="30" hidden="false" customHeight="true" outlineLevel="0" collapsed="false">
      <c r="B7" s="19" t="s">
        <v>343</v>
      </c>
      <c r="C7" s="21" t="s">
        <v>24</v>
      </c>
      <c r="D7" s="21" t="s">
        <v>342</v>
      </c>
    </row>
    <row r="8" customFormat="false" ht="30" hidden="false" customHeight="true" outlineLevel="0" collapsed="false">
      <c r="B8" s="13" t="s">
        <v>344</v>
      </c>
      <c r="C8" s="15" t="s">
        <v>24</v>
      </c>
      <c r="D8" s="15" t="s">
        <v>342</v>
      </c>
    </row>
    <row r="9" customFormat="false" ht="30" hidden="false" customHeight="true" outlineLevel="0" collapsed="false">
      <c r="B9" s="19" t="s">
        <v>345</v>
      </c>
      <c r="C9" s="21" t="s">
        <v>24</v>
      </c>
      <c r="D9" s="21" t="s">
        <v>342</v>
      </c>
    </row>
    <row r="10" customFormat="false" ht="21.75" hidden="false" customHeight="true" outlineLevel="0" collapsed="false">
      <c r="B10" s="73" t="s">
        <v>346</v>
      </c>
      <c r="C10" s="73"/>
      <c r="D10" s="73"/>
    </row>
    <row r="11" customFormat="false" ht="30" hidden="false" customHeight="true" outlineLevel="0" collapsed="false">
      <c r="B11" s="19" t="s">
        <v>347</v>
      </c>
      <c r="C11" s="21" t="s">
        <v>38</v>
      </c>
      <c r="D11" s="21" t="s">
        <v>342</v>
      </c>
    </row>
    <row r="12" customFormat="false" ht="30" hidden="false" customHeight="true" outlineLevel="0" collapsed="false">
      <c r="B12" s="13" t="s">
        <v>348</v>
      </c>
      <c r="C12" s="15" t="s">
        <v>38</v>
      </c>
      <c r="D12" s="15" t="s">
        <v>342</v>
      </c>
    </row>
    <row r="13" customFormat="false" ht="30" hidden="false" customHeight="true" outlineLevel="0" collapsed="false">
      <c r="B13" s="19" t="s">
        <v>349</v>
      </c>
      <c r="C13" s="21" t="s">
        <v>24</v>
      </c>
      <c r="D13" s="21" t="s">
        <v>342</v>
      </c>
    </row>
    <row r="14" customFormat="false" ht="30" hidden="false" customHeight="true" outlineLevel="0" collapsed="false">
      <c r="B14" s="13" t="s">
        <v>350</v>
      </c>
      <c r="C14" s="15" t="s">
        <v>351</v>
      </c>
      <c r="D14" s="15" t="s">
        <v>342</v>
      </c>
    </row>
    <row r="15" customFormat="false" ht="30" hidden="false" customHeight="true" outlineLevel="0" collapsed="false">
      <c r="B15" s="19" t="s">
        <v>352</v>
      </c>
      <c r="C15" s="21" t="s">
        <v>353</v>
      </c>
      <c r="D15" s="21" t="s">
        <v>342</v>
      </c>
    </row>
    <row r="16" customFormat="false" ht="21.75" hidden="false" customHeight="true" outlineLevel="0" collapsed="false">
      <c r="B16" s="73" t="s">
        <v>354</v>
      </c>
      <c r="C16" s="73"/>
      <c r="D16" s="73"/>
    </row>
    <row r="17" customFormat="false" ht="30" hidden="false" customHeight="true" outlineLevel="0" collapsed="false">
      <c r="B17" s="19" t="s">
        <v>355</v>
      </c>
      <c r="C17" s="21" t="s">
        <v>353</v>
      </c>
      <c r="D17" s="21" t="s">
        <v>342</v>
      </c>
    </row>
    <row r="18" customFormat="false" ht="30" hidden="false" customHeight="true" outlineLevel="0" collapsed="false">
      <c r="B18" s="13" t="s">
        <v>356</v>
      </c>
      <c r="C18" s="15" t="s">
        <v>353</v>
      </c>
      <c r="D18" s="15" t="s">
        <v>342</v>
      </c>
    </row>
    <row r="19" customFormat="false" ht="30" hidden="false" customHeight="true" outlineLevel="0" collapsed="false">
      <c r="B19" s="19" t="s">
        <v>357</v>
      </c>
      <c r="C19" s="21" t="s">
        <v>24</v>
      </c>
      <c r="D19" s="21" t="s">
        <v>342</v>
      </c>
    </row>
    <row r="20" customFormat="false" ht="21.75" hidden="false" customHeight="true" outlineLevel="0" collapsed="false">
      <c r="B20" s="73" t="s">
        <v>358</v>
      </c>
      <c r="C20" s="73"/>
      <c r="D20" s="73"/>
    </row>
    <row r="21" customFormat="false" ht="30" hidden="false" customHeight="true" outlineLevel="0" collapsed="false">
      <c r="B21" s="19" t="s">
        <v>359</v>
      </c>
      <c r="C21" s="21" t="s">
        <v>54</v>
      </c>
      <c r="D21" s="21" t="s">
        <v>342</v>
      </c>
    </row>
    <row r="22" customFormat="false" ht="30" hidden="false" customHeight="true" outlineLevel="0" collapsed="false">
      <c r="B22" s="13" t="s">
        <v>360</v>
      </c>
      <c r="C22" s="15" t="s">
        <v>24</v>
      </c>
      <c r="D22" s="15" t="s">
        <v>342</v>
      </c>
    </row>
    <row r="23" customFormat="false" ht="30" hidden="false" customHeight="true" outlineLevel="0" collapsed="false">
      <c r="B23" s="19" t="s">
        <v>361</v>
      </c>
      <c r="C23" s="21" t="s">
        <v>49</v>
      </c>
      <c r="D23" s="21" t="s">
        <v>342</v>
      </c>
    </row>
    <row r="24" customFormat="false" ht="30" hidden="false" customHeight="true" outlineLevel="0" collapsed="false">
      <c r="B24" s="13" t="s">
        <v>362</v>
      </c>
      <c r="C24" s="15" t="s">
        <v>24</v>
      </c>
      <c r="D24" s="15" t="s">
        <v>342</v>
      </c>
    </row>
    <row r="25" customFormat="false" ht="21.75" hidden="false" customHeight="true" outlineLevel="0" collapsed="false">
      <c r="B25" s="73" t="s">
        <v>363</v>
      </c>
      <c r="C25" s="73"/>
      <c r="D25" s="73"/>
    </row>
    <row r="26" customFormat="false" ht="30" hidden="false" customHeight="true" outlineLevel="0" collapsed="false">
      <c r="B26" s="13" t="s">
        <v>364</v>
      </c>
      <c r="C26" s="15" t="s">
        <v>24</v>
      </c>
      <c r="D26" s="15" t="s">
        <v>342</v>
      </c>
    </row>
    <row r="27" customFormat="false" ht="30" hidden="false" customHeight="true" outlineLevel="0" collapsed="false">
      <c r="B27" s="19" t="s">
        <v>365</v>
      </c>
      <c r="C27" s="21" t="s">
        <v>24</v>
      </c>
      <c r="D27" s="21" t="s">
        <v>342</v>
      </c>
    </row>
  </sheetData>
  <mergeCells count="6">
    <mergeCell ref="B2:D2"/>
    <mergeCell ref="B5:D5"/>
    <mergeCell ref="B10:D10"/>
    <mergeCell ref="B16:D16"/>
    <mergeCell ref="B20:D20"/>
    <mergeCell ref="B25:D25"/>
  </mergeCells>
  <dataValidations count="1">
    <dataValidation allowBlank="true" errorStyle="stop" operator="between" showDropDown="false" showErrorMessage="false" showInputMessage="false" sqref="D6:D9 D11:D15 D17:D19 D21:D24 D26:D27" type="list">
      <formula1>"☐ To do,In progress,Done 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6"/>
  </cols>
  <sheetData>
    <row r="2" customFormat="false" ht="25.5" hidden="false" customHeight="true" outlineLevel="0" collapsed="false">
      <c r="B2" s="70" t="s">
        <v>366</v>
      </c>
      <c r="C2" s="70"/>
      <c r="D2" s="70"/>
      <c r="E2" s="70"/>
      <c r="F2" s="70"/>
    </row>
    <row r="4" customFormat="false" ht="21.75" hidden="false" customHeight="true" outlineLevel="0" collapsed="false">
      <c r="B4" s="71" t="s">
        <v>367</v>
      </c>
      <c r="C4" s="72" t="s">
        <v>368</v>
      </c>
      <c r="D4" s="72" t="s">
        <v>369</v>
      </c>
      <c r="E4" s="72" t="s">
        <v>370</v>
      </c>
      <c r="F4" s="72" t="s">
        <v>371</v>
      </c>
    </row>
    <row r="5" customFormat="false" ht="24" hidden="false" customHeight="true" outlineLevel="0" collapsed="false">
      <c r="B5" s="31" t="s">
        <v>80</v>
      </c>
      <c r="C5" s="74" t="n">
        <f aca="false">COUNTIF('Link Distribution'!$E$2:$E$51,"Sahil")</f>
        <v>10</v>
      </c>
      <c r="D5" s="74" t="n">
        <f aca="false">COUNTIFS('Link Distribution'!$E$2:$E$51,"Sahil",'Link Distribution'!$I$2:$I$51,"&lt;&gt;Not shared")</f>
        <v>0</v>
      </c>
      <c r="E5" s="74" t="n">
        <f aca="false">COUNTIFS('Link Distribution'!$E$2:$E$51,"Sahil",'Link Distribution'!$J$2:$J$51,"Yes")</f>
        <v>0</v>
      </c>
      <c r="F5" s="75" t="n">
        <f aca="false">IF(C5=0,0,E5/C5)</f>
        <v>0</v>
      </c>
    </row>
    <row r="6" customFormat="false" ht="24" hidden="false" customHeight="true" outlineLevel="0" collapsed="false">
      <c r="B6" s="38" t="s">
        <v>88</v>
      </c>
      <c r="C6" s="76" t="n">
        <f aca="false">COUNTIF('Link Distribution'!$E$2:$E$51,"Deepti")</f>
        <v>10</v>
      </c>
      <c r="D6" s="76" t="n">
        <f aca="false">COUNTIFS('Link Distribution'!$E$2:$E$51,"Deepti",'Link Distribution'!$I$2:$I$51,"&lt;&gt;Not shared")</f>
        <v>0</v>
      </c>
      <c r="E6" s="76" t="n">
        <f aca="false">COUNTIFS('Link Distribution'!$E$2:$E$51,"Deepti",'Link Distribution'!$J$2:$J$51,"Yes")</f>
        <v>0</v>
      </c>
      <c r="F6" s="77" t="n">
        <f aca="false">IF(C6=0,0,E6/C6)</f>
        <v>0</v>
      </c>
    </row>
    <row r="7" customFormat="false" ht="24" hidden="false" customHeight="true" outlineLevel="0" collapsed="false">
      <c r="B7" s="45" t="s">
        <v>93</v>
      </c>
      <c r="C7" s="78" t="n">
        <f aca="false">COUNTIF('Link Distribution'!$E$2:$E$51,"Raksha")</f>
        <v>10</v>
      </c>
      <c r="D7" s="78" t="n">
        <f aca="false">COUNTIFS('Link Distribution'!$E$2:$E$51,"Raksha",'Link Distribution'!$I$2:$I$51,"&lt;&gt;Not shared")</f>
        <v>0</v>
      </c>
      <c r="E7" s="78" t="n">
        <f aca="false">COUNTIFS('Link Distribution'!$E$2:$E$51,"Raksha",'Link Distribution'!$J$2:$J$51,"Yes")</f>
        <v>0</v>
      </c>
      <c r="F7" s="79" t="n">
        <f aca="false">IF(C7=0,0,E7/C7)</f>
        <v>0</v>
      </c>
    </row>
    <row r="8" customFormat="false" ht="24" hidden="false" customHeight="true" outlineLevel="0" collapsed="false">
      <c r="B8" s="52" t="s">
        <v>98</v>
      </c>
      <c r="C8" s="80" t="n">
        <f aca="false">COUNTIF('Link Distribution'!$E$2:$E$51,"Sarvanthi")</f>
        <v>10</v>
      </c>
      <c r="D8" s="80" t="n">
        <f aca="false">COUNTIFS('Link Distribution'!$E$2:$E$51,"Sarvanthi",'Link Distribution'!$I$2:$I$51,"&lt;&gt;Not shared")</f>
        <v>0</v>
      </c>
      <c r="E8" s="80" t="n">
        <f aca="false">COUNTIFS('Link Distribution'!$E$2:$E$51,"Sarvanthi",'Link Distribution'!$J$2:$J$51,"Yes")</f>
        <v>0</v>
      </c>
      <c r="F8" s="81" t="n">
        <f aca="false">IF(C8=0,0,E8/C8)</f>
        <v>0</v>
      </c>
    </row>
    <row r="9" customFormat="false" ht="24" hidden="false" customHeight="true" outlineLevel="0" collapsed="false">
      <c r="B9" s="59" t="s">
        <v>103</v>
      </c>
      <c r="C9" s="82" t="n">
        <f aca="false">COUNTIF('Link Distribution'!$E$2:$E$51,"Prateek")</f>
        <v>10</v>
      </c>
      <c r="D9" s="82" t="n">
        <f aca="false">COUNTIFS('Link Distribution'!$E$2:$E$51,"Prateek",'Link Distribution'!$I$2:$I$51,"&lt;&gt;Not shared")</f>
        <v>0</v>
      </c>
      <c r="E9" s="82" t="n">
        <f aca="false">COUNTIFS('Link Distribution'!$E$2:$E$51,"Prateek",'Link Distribution'!$J$2:$J$51,"Yes")</f>
        <v>0</v>
      </c>
      <c r="F9" s="83" t="n">
        <f aca="false">IF(C9=0,0,E9/C9)</f>
        <v>0</v>
      </c>
    </row>
    <row r="10" customFormat="false" ht="24" hidden="false" customHeight="true" outlineLevel="0" collapsed="false">
      <c r="B10" s="6" t="s">
        <v>372</v>
      </c>
      <c r="C10" s="84" t="n">
        <f aca="false">SUM(C5:C9)</f>
        <v>50</v>
      </c>
      <c r="D10" s="84" t="n">
        <f aca="false">SUM(D5:D9)</f>
        <v>0</v>
      </c>
      <c r="E10" s="84" t="n">
        <f aca="false">SUM(E5:E9)</f>
        <v>0</v>
      </c>
      <c r="F10" s="85" t="n">
        <f aca="false">IF(C10=0,0,E10/C10)</f>
        <v>0</v>
      </c>
    </row>
    <row r="12" customFormat="false" ht="39.75" hidden="false" customHeight="true" outlineLevel="0" collapsed="false">
      <c r="B12" s="8" t="s">
        <v>373</v>
      </c>
      <c r="C12" s="8"/>
      <c r="D12" s="8"/>
      <c r="E12" s="8"/>
      <c r="F12" s="8"/>
    </row>
  </sheetData>
  <mergeCells count="2">
    <mergeCell ref="B2:F2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2026-06-16T02:33:14Z</dcterms:created>
  <dc:creator>openpyxl</dc:creator>
  <dc:description/>
  <dc:language>en-US</dc:language>
  <cp:lastModifiedBy/>
  <dcterms:modified xsi:type="dcterms:W3CDTF">2026-06-16T02:33:14Z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