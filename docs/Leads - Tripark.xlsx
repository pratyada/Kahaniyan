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eta Leads" sheetId="2" r:id="rId6"/>
    <sheet state="visible" name="Google Registration from Websit" sheetId="3" r:id="rId7"/>
  </sheets>
  <definedNames/>
  <calcPr/>
</workbook>
</file>

<file path=xl/sharedStrings.xml><?xml version="1.0" encoding="utf-8"?>
<sst xmlns="http://schemas.openxmlformats.org/spreadsheetml/2006/main" count="5468" uniqueCount="4018">
  <si>
    <t>Samara</t>
  </si>
  <si>
    <t>Boparai</t>
  </si>
  <si>
    <r>
      <rPr>
        <rFont val="&quot;Helvetica Neue&quot;"/>
        <color rgb="FF1155CC"/>
        <sz val="8.0"/>
        <u/>
      </rPr>
      <t>samara.boparai@gmail.com</t>
    </r>
  </si>
  <si>
    <t>Imran</t>
  </si>
  <si>
    <t>Ali</t>
  </si>
  <si>
    <r>
      <rPr>
        <rFont val="&quot;Helvetica Neue&quot;"/>
        <color rgb="FF1155CC"/>
        <sz val="8.0"/>
        <u/>
      </rPr>
      <t>azaanak@gmail.com</t>
    </r>
  </si>
  <si>
    <t>Nisa</t>
  </si>
  <si>
    <t>Persaud</t>
  </si>
  <si>
    <r>
      <rPr>
        <rFont val="&quot;Helvetica Neue&quot;"/>
        <color rgb="FF1155CC"/>
        <sz val="8.0"/>
        <u/>
      </rPr>
      <t>nisapersaud98@gmail.com</t>
    </r>
  </si>
  <si>
    <t>Abdulhai</t>
  </si>
  <si>
    <t>Nadeem</t>
  </si>
  <si>
    <r>
      <rPr>
        <rFont val="&quot;Helvetica Neue&quot;"/>
        <color rgb="FF1155CC"/>
        <sz val="8.0"/>
        <u/>
      </rPr>
      <t>abdulhainad@gmail.com</t>
    </r>
  </si>
  <si>
    <t>Stephen</t>
  </si>
  <si>
    <t>Hennessey</t>
  </si>
  <si>
    <r>
      <rPr>
        <rFont val="&quot;Helvetica Neue&quot;"/>
        <color rgb="FF1155CC"/>
        <sz val="8.0"/>
        <u/>
      </rPr>
      <t>stevehennessey1973@gmail.com</t>
    </r>
  </si>
  <si>
    <t>Bhanu</t>
  </si>
  <si>
    <t>Dhungana</t>
  </si>
  <si>
    <r>
      <rPr>
        <rFont val="&quot;Helvetica Neue&quot;"/>
        <color rgb="FF1155CC"/>
        <sz val="8.0"/>
        <u/>
      </rPr>
      <t>bdhungana@ryan-design.com</t>
    </r>
  </si>
  <si>
    <t>Ojas</t>
  </si>
  <si>
    <t>Thakur</t>
  </si>
  <si>
    <r>
      <rPr>
        <rFont val="&quot;Helvetica Neue&quot;"/>
        <color rgb="FF1155CC"/>
        <sz val="8.0"/>
        <u/>
      </rPr>
      <t>ojasthakur@gmail.com</t>
    </r>
  </si>
  <si>
    <t>Tee</t>
  </si>
  <si>
    <t>A</t>
  </si>
  <si>
    <r>
      <rPr>
        <rFont val="&quot;Helvetica Neue&quot;"/>
        <color rgb="FF1155CC"/>
        <sz val="8.0"/>
        <u/>
      </rPr>
      <t>tiffalexa@hotmail.com</t>
    </r>
  </si>
  <si>
    <t>647-289-3778</t>
  </si>
  <si>
    <t>Jocelyn</t>
  </si>
  <si>
    <t>De Los Santos</t>
  </si>
  <si>
    <r>
      <rPr>
        <rFont val="&quot;Helvetica Neue&quot;"/>
        <color rgb="FF1155CC"/>
        <sz val="8.0"/>
        <u/>
      </rPr>
      <t>Jocelyn_d2003@yahoo.com</t>
    </r>
  </si>
  <si>
    <t>Aayushi-test</t>
  </si>
  <si>
    <t>Patel</t>
  </si>
  <si>
    <r>
      <rPr>
        <rFont val="&quot;Helvetica Neue&quot;"/>
        <color rgb="FF1155CC"/>
        <sz val="8.0"/>
        <u/>
      </rPr>
      <t>apatel@ryan-design.com</t>
    </r>
  </si>
  <si>
    <t>Brian</t>
  </si>
  <si>
    <t>Tippett</t>
  </si>
  <si>
    <r>
      <rPr>
        <rFont val="&quot;Helvetica Neue&quot;"/>
        <color rgb="FF1155CC"/>
        <sz val="8.0"/>
        <u/>
      </rPr>
      <t>brigbri09@gmail.com</t>
    </r>
  </si>
  <si>
    <r>
      <rPr>
        <rFont val="&quot;Helvetica Neue&quot;"/>
        <color rgb="FF1155CC"/>
        <sz val="8.0"/>
        <u/>
      </rPr>
      <t>construction@styluxhomes.com</t>
    </r>
  </si>
  <si>
    <t>Ulyh</t>
  </si>
  <si>
    <t>Piga</t>
  </si>
  <si>
    <r>
      <rPr>
        <rFont val="&quot;Helvetica Neue&quot;"/>
        <color rgb="FF1155CC"/>
        <sz val="8.0"/>
        <u/>
      </rPr>
      <t>Ulyhpiga1971@gmail.com</t>
    </r>
  </si>
  <si>
    <t>Haidee</t>
  </si>
  <si>
    <t>Reyes-Gonzalez</t>
  </si>
  <si>
    <r>
      <rPr>
        <rFont val="&quot;Helvetica Neue&quot;"/>
        <color rgb="FF1155CC"/>
        <sz val="8.0"/>
        <u/>
      </rPr>
      <t>Haidz78@yahoo.com</t>
    </r>
  </si>
  <si>
    <t>Mitchell</t>
  </si>
  <si>
    <t>MacKichan</t>
  </si>
  <si>
    <r>
      <rPr>
        <rFont val="&quot;Helvetica Neue&quot;"/>
        <color rgb="FF1155CC"/>
        <sz val="8.0"/>
        <u/>
      </rPr>
      <t>mitchmackichan@gmail.com</t>
    </r>
  </si>
  <si>
    <t>Namita</t>
  </si>
  <si>
    <t>Kapoor</t>
  </si>
  <si>
    <r>
      <rPr>
        <rFont val="&quot;Helvetica Neue&quot;"/>
        <color rgb="FF1155CC"/>
        <sz val="8.0"/>
        <u/>
      </rPr>
      <t>singh3namita@gmail.com</t>
    </r>
  </si>
  <si>
    <t>Sh</t>
  </si>
  <si>
    <t>Meh</t>
  </si>
  <si>
    <r>
      <rPr>
        <rFont val="&quot;Helvetica Neue&quot;"/>
        <color rgb="FF1155CC"/>
        <sz val="8.0"/>
        <u/>
      </rPr>
      <t>shazia_jz@yahoo.com</t>
    </r>
  </si>
  <si>
    <t>Abby</t>
  </si>
  <si>
    <t>Salami</t>
  </si>
  <si>
    <r>
      <rPr>
        <rFont val="&quot;Helvetica Neue&quot;"/>
        <color rgb="FF1155CC"/>
        <sz val="8.0"/>
        <u/>
      </rPr>
      <t>a-owusu@hotmail.ca</t>
    </r>
  </si>
  <si>
    <t>Latanya</t>
  </si>
  <si>
    <t>Bedward</t>
  </si>
  <si>
    <r>
      <rPr>
        <rFont val="&quot;Helvetica Neue&quot;"/>
        <color rgb="FF1155CC"/>
        <sz val="8.0"/>
        <u/>
      </rPr>
      <t>bedwardlatanya@gmail.com</t>
    </r>
  </si>
  <si>
    <t>Yama</t>
  </si>
  <si>
    <t>Qayumi</t>
  </si>
  <si>
    <r>
      <rPr>
        <rFont val="&quot;Helvetica Neue&quot;"/>
        <color rgb="FF1155CC"/>
        <sz val="8.0"/>
        <u/>
      </rPr>
      <t>arianawireless@gmail.com</t>
    </r>
  </si>
  <si>
    <t>Ekramul</t>
  </si>
  <si>
    <t>Karim</t>
  </si>
  <si>
    <r>
      <rPr>
        <rFont val="&quot;Helvetica Neue&quot;"/>
        <color rgb="FF1155CC"/>
        <sz val="8.0"/>
        <u/>
      </rPr>
      <t>ekramulkarim.anm@gmail.com</t>
    </r>
  </si>
  <si>
    <t>Kim</t>
  </si>
  <si>
    <t>Boss</t>
  </si>
  <si>
    <r>
      <rPr>
        <rFont val="&quot;Helvetica Neue&quot;"/>
        <color rgb="FF1155CC"/>
        <sz val="8.0"/>
        <u/>
      </rPr>
      <t>Kimberlybosse@hotmail.com</t>
    </r>
  </si>
  <si>
    <t>Puneet</t>
  </si>
  <si>
    <t>Bhardwaj</t>
  </si>
  <si>
    <r>
      <rPr>
        <rFont val="&quot;Helvetica Neue&quot;"/>
        <color rgb="FF1155CC"/>
        <sz val="8.0"/>
        <u/>
      </rPr>
      <t>admin@dreamhouserealestate.ca</t>
    </r>
  </si>
  <si>
    <t>test</t>
  </si>
  <si>
    <r>
      <rPr>
        <rFont val="&quot;Helvetica Neue&quot;"/>
        <color rgb="FF1155CC"/>
        <sz val="8.0"/>
        <u/>
      </rPr>
      <t>test23@gmail.com</t>
    </r>
  </si>
  <si>
    <t>Jeremy</t>
  </si>
  <si>
    <t>Paul</t>
  </si>
  <si>
    <r>
      <rPr>
        <rFont val="&quot;Helvetica Neue&quot;"/>
        <color rgb="FF1155CC"/>
        <sz val="8.0"/>
        <u/>
      </rPr>
      <t>pauljeremy32@gmail.com</t>
    </r>
  </si>
  <si>
    <r>
      <rPr>
        <rFont val="&quot;Helvetica Neue&quot;"/>
        <color rgb="FF1155CC"/>
        <sz val="8.0"/>
        <u/>
      </rPr>
      <t>test@gmail.com</t>
    </r>
  </si>
  <si>
    <t>John</t>
  </si>
  <si>
    <t>Lenon</t>
  </si>
  <si>
    <r>
      <rPr>
        <rFont val="&quot;Helvetica Neue&quot;"/>
        <color rgb="FF1155CC"/>
        <sz val="8.0"/>
        <u/>
      </rPr>
      <t>Johnlenon34@gmail.com</t>
    </r>
  </si>
  <si>
    <t>MoГЇse</t>
  </si>
  <si>
    <t>bagarwa</t>
  </si>
  <si>
    <t>MLK</t>
  </si>
  <si>
    <t>Mudiandambu</t>
  </si>
  <si>
    <t>Voldy</t>
  </si>
  <si>
    <r>
      <rPr>
        <rFont val="&quot;Helvetica Neue&quot;"/>
        <color rgb="FF1155CC"/>
        <sz val="8.0"/>
        <u/>
      </rPr>
      <t>voldymudiadambu@gmail.com</t>
    </r>
  </si>
  <si>
    <t>Otiti</t>
  </si>
  <si>
    <t>Desty</t>
  </si>
  <si>
    <r>
      <rPr>
        <rFont val="&quot;Helvetica Neue&quot;"/>
        <color rgb="FF1155CC"/>
        <sz val="8.0"/>
        <u/>
      </rPr>
      <t>otiti@destygmai.com</t>
    </r>
  </si>
  <si>
    <t>Cheikh. Tidiane Mbengue</t>
  </si>
  <si>
    <t>Mbenguenne</t>
  </si>
  <si>
    <t>ElГ©ctriГ§ien camion</t>
  </si>
  <si>
    <t>767329112. 777805071</t>
  </si>
  <si>
    <t>King</t>
  </si>
  <si>
    <t>Moustapha</t>
  </si>
  <si>
    <r>
      <rPr>
        <rFont val="&quot;Helvetica Neue&quot;"/>
        <color rgb="FF1155CC"/>
        <sz val="8.0"/>
        <u/>
      </rPr>
      <t>kingbaticom2012@gmail.com</t>
    </r>
  </si>
  <si>
    <t>Athoms</t>
  </si>
  <si>
    <t>Bukaka</t>
  </si>
  <si>
    <r>
      <rPr>
        <rFont val="&quot;Helvetica Neue&quot;"/>
        <color rgb="FF1155CC"/>
        <sz val="8.0"/>
        <u/>
      </rPr>
      <t>bukakatv0@gmail.com</t>
    </r>
  </si>
  <si>
    <t>OUATTARA</t>
  </si>
  <si>
    <t>OUATTARA AMIDOU</t>
  </si>
  <si>
    <t>AlphoussГ©yni</t>
  </si>
  <si>
    <t>Camara</t>
  </si>
  <si>
    <r>
      <rPr>
        <rFont val="&quot;Helvetica Neue&quot;"/>
        <color rgb="FF1155CC"/>
        <sz val="8.0"/>
        <u/>
      </rPr>
      <t>camaraseni26@gmail.com</t>
    </r>
  </si>
  <si>
    <t>Nsimba</t>
  </si>
  <si>
    <t>Mbumba</t>
  </si>
  <si>
    <r>
      <rPr>
        <rFont val="&quot;Helvetica Neue&quot;"/>
        <color rgb="FF1155CC"/>
        <sz val="8.0"/>
        <u/>
      </rPr>
      <t>hazielmawete@gmail.com</t>
    </r>
  </si>
  <si>
    <t>Jean Emile</t>
  </si>
  <si>
    <t>RANAIVO</t>
  </si>
  <si>
    <r>
      <rPr>
        <rFont val="&quot;Helvetica Neue&quot;"/>
        <color rgb="FF1155CC"/>
        <sz val="8.0"/>
        <u/>
      </rPr>
      <t>rajem74@gmail.com</t>
    </r>
  </si>
  <si>
    <t>Tanushree</t>
  </si>
  <si>
    <t>Kose</t>
  </si>
  <si>
    <r>
      <rPr>
        <rFont val="&quot;Helvetica Neue&quot;"/>
        <color rgb="FF1155CC"/>
        <sz val="8.0"/>
        <u/>
      </rPr>
      <t>kosetanushree81@gmail.com</t>
    </r>
  </si>
  <si>
    <t>Patrick</t>
  </si>
  <si>
    <t>Babale</t>
  </si>
  <si>
    <r>
      <rPr>
        <rFont val="&quot;Helvetica Neue&quot;"/>
        <color rgb="FF1155CC"/>
        <sz val="8.0"/>
        <u/>
      </rPr>
      <t>patrickbabale71@gmail.com</t>
    </r>
  </si>
  <si>
    <t>Gora</t>
  </si>
  <si>
    <t>Gorawiz</t>
  </si>
  <si>
    <r>
      <rPr>
        <rFont val="&quot;Helvetica Neue&quot;"/>
        <color rgb="FF1155CC"/>
        <sz val="8.0"/>
        <u/>
      </rPr>
      <t>wizgorawiz@gmail.com</t>
    </r>
  </si>
  <si>
    <t>Chris</t>
  </si>
  <si>
    <t>Davidson</t>
  </si>
  <si>
    <r>
      <rPr>
        <rFont val="&quot;Helvetica Neue&quot;"/>
        <color rgb="FF1155CC"/>
        <sz val="8.0"/>
        <u/>
      </rPr>
      <t>chrisdavid07@gmail.com</t>
    </r>
  </si>
  <si>
    <t>Zeba</t>
  </si>
  <si>
    <t>Zakaria</t>
  </si>
  <si>
    <r>
      <rPr>
        <rFont val="&quot;Helvetica Neue&quot;"/>
        <color rgb="FF1155CC"/>
        <sz val="8.0"/>
        <u/>
      </rPr>
      <t>zebazakaria1985@gmail.com</t>
    </r>
  </si>
  <si>
    <t>Jo</t>
  </si>
  <si>
    <t>Kid</t>
  </si>
  <si>
    <r>
      <rPr>
        <rFont val="&quot;Helvetica Neue&quot;"/>
        <color rgb="FF1155CC"/>
        <sz val="8.0"/>
        <u/>
      </rPr>
      <t>jordank@pmabrethour.com</t>
    </r>
  </si>
  <si>
    <t>Masse</t>
  </si>
  <si>
    <t>Dione</t>
  </si>
  <si>
    <r>
      <rPr>
        <rFont val="&quot;Helvetica Neue&quot;"/>
        <color rgb="FF1155CC"/>
        <sz val="8.0"/>
        <u/>
      </rPr>
      <t>massedione127@gmail.com</t>
    </r>
  </si>
  <si>
    <t>76 413 24 96</t>
  </si>
  <si>
    <t>Diana</t>
  </si>
  <si>
    <t>Muhajer</t>
  </si>
  <si>
    <r>
      <rPr>
        <rFont val="&quot;Helvetica Neue&quot;"/>
        <color rgb="FF1155CC"/>
        <sz val="8.0"/>
        <u/>
      </rPr>
      <t>dmuhajer@hotmail.com</t>
    </r>
  </si>
  <si>
    <t>Elhadji alioune</t>
  </si>
  <si>
    <t>Gueye</t>
  </si>
  <si>
    <r>
      <rPr>
        <rFont val="&quot;Helvetica Neue&quot;"/>
        <color rgb="FF1155CC"/>
        <sz val="8.0"/>
        <u/>
      </rPr>
      <t>elhadjialiounegueye112@gmail.com</t>
    </r>
  </si>
  <si>
    <t>ABU BAKARR</t>
  </si>
  <si>
    <t>SESAY</t>
  </si>
  <si>
    <r>
      <rPr>
        <rFont val="&quot;Helvetica Neue&quot;"/>
        <color rgb="FF1155CC"/>
        <sz val="8.0"/>
        <u/>
      </rPr>
      <t>Sesayman365@gamile.com</t>
    </r>
  </si>
  <si>
    <t>TJ</t>
  </si>
  <si>
    <t>Randhawa</t>
  </si>
  <si>
    <r>
      <rPr>
        <rFont val="&quot;Helvetica Neue&quot;"/>
        <color rgb="FF1155CC"/>
        <sz val="8.0"/>
        <u/>
      </rPr>
      <t>tjrandhawa.ca@gmail.com</t>
    </r>
  </si>
  <si>
    <t>647-5320333</t>
  </si>
  <si>
    <t>Gloria</t>
  </si>
  <si>
    <t>Kanhai</t>
  </si>
  <si>
    <r>
      <rPr>
        <rFont val="&quot;Helvetica Neue&quot;"/>
        <color rgb="FF1155CC"/>
        <sz val="8.0"/>
        <u/>
      </rPr>
      <t>gloria_kanhai@hotmail.com</t>
    </r>
  </si>
  <si>
    <t>(647) 270-4567</t>
  </si>
  <si>
    <t>Cheikh Tidiane Sow</t>
  </si>
  <si>
    <t>DIENA</t>
  </si>
  <si>
    <r>
      <rPr>
        <rFont val="&quot;Helvetica Neue&quot;"/>
        <color rgb="FF1155CC"/>
        <sz val="8.0"/>
        <u/>
      </rPr>
      <t>dienatij@gmail.com</t>
    </r>
  </si>
  <si>
    <t>Ndiaye Diagne</t>
  </si>
  <si>
    <t>Sow</t>
  </si>
  <si>
    <r>
      <rPr>
        <rFont val="&quot;Helvetica Neue&quot;"/>
        <color rgb="FF1155CC"/>
        <sz val="8.0"/>
        <u/>
      </rPr>
      <t>sowndiaye35@gmail.com</t>
    </r>
  </si>
  <si>
    <t>Will</t>
  </si>
  <si>
    <t>Janetos</t>
  </si>
  <si>
    <r>
      <rPr>
        <rFont val="&quot;Helvetica Neue&quot;"/>
        <color rgb="FF1155CC"/>
        <sz val="8.0"/>
        <u/>
      </rPr>
      <t>Williamjanetos7@gmail.com</t>
    </r>
  </si>
  <si>
    <t>Serigne Birane</t>
  </si>
  <si>
    <t>Ngom</t>
  </si>
  <si>
    <r>
      <rPr>
        <rFont val="&quot;Helvetica Neue&quot;"/>
        <color rgb="FF1155CC"/>
        <sz val="8.0"/>
        <u/>
      </rPr>
      <t>ngomserign2019@gmail.com</t>
    </r>
  </si>
  <si>
    <t>Randriamihanja</t>
  </si>
  <si>
    <t>Jean berthinot</t>
  </si>
  <si>
    <r>
      <rPr>
        <rFont val="&quot;Helvetica Neue&quot;"/>
        <color rgb="FF1155CC"/>
        <sz val="8.0"/>
        <u/>
      </rPr>
      <t>berthinotnfs@gmail.com</t>
    </r>
  </si>
  <si>
    <t>paguy</t>
  </si>
  <si>
    <t>cimbulu</t>
  </si>
  <si>
    <r>
      <rPr>
        <rFont val="&quot;Helvetica Neue&quot;"/>
        <color rgb="FF1155CC"/>
        <sz val="8.0"/>
        <u/>
      </rPr>
      <t>paguycimbulu10@gmail.com</t>
    </r>
  </si>
  <si>
    <t>David</t>
  </si>
  <si>
    <t>Singer</t>
  </si>
  <si>
    <r>
      <rPr>
        <rFont val="&quot;Helvetica Neue&quot;"/>
        <color rgb="FF1155CC"/>
        <sz val="8.0"/>
        <u/>
      </rPr>
      <t>dsinger@madisongroup.ca</t>
    </r>
  </si>
  <si>
    <t>Ahmed</t>
  </si>
  <si>
    <t>Mina khadr</t>
  </si>
  <si>
    <r>
      <rPr>
        <rFont val="&quot;Helvetica Neue&quot;"/>
        <color rgb="FF1155CC"/>
        <sz val="8.0"/>
        <u/>
      </rPr>
      <t>ahmedkhadr1971@gmail.com</t>
    </r>
  </si>
  <si>
    <t>Harouna</t>
  </si>
  <si>
    <t>Cisse</t>
  </si>
  <si>
    <r>
      <rPr>
        <rFont val="&quot;Helvetica Neue&quot;"/>
        <color rgb="FF1155CC"/>
        <sz val="8.0"/>
        <u/>
      </rPr>
      <t>Arnoldcisse606@gmail.com</t>
    </r>
  </si>
  <si>
    <t>в„™рќ• рќ•Јрќ•�рќ•</t>
  </si>
  <si>
    <t>рќ• рќ•¤рќ•¤рќ•–рќ•љрќ•џрќ•љ</t>
  </si>
  <si>
    <t>рќ•Ўрќ•’рќ•Ўрќ•љрќ•¤рќ•ќрќ•’рќ•ќрќ•</t>
  </si>
  <si>
    <t>Lotutala Ernest</t>
  </si>
  <si>
    <t>Miterand</t>
  </si>
  <si>
    <t>Gnahore</t>
  </si>
  <si>
    <t>Hermann martial gnahore</t>
  </si>
  <si>
    <r>
      <rPr>
        <rFont val="&quot;Helvetica Neue&quot;"/>
        <color rgb="FF1155CC"/>
        <sz val="8.0"/>
        <u/>
      </rPr>
      <t>hermanngnahore007@gmail.com</t>
    </r>
  </si>
  <si>
    <t>Mohamed</t>
  </si>
  <si>
    <t>Ndiaye</t>
  </si>
  <si>
    <r>
      <t xml:space="preserve">METTA </t>
    </r>
    <r>
      <rPr>
        <rFont val="&quot;Helvetica Neue&quot;"/>
        <color rgb="FF1155CC"/>
        <sz val="8.0"/>
        <u/>
      </rPr>
      <t>coiffuremetta@gmail.com</t>
    </r>
  </si>
  <si>
    <r>
      <t xml:space="preserve">Salif Keita Salif </t>
    </r>
    <r>
      <rPr>
        <rFont val="&quot;Helvetica Neue&quot;"/>
        <color rgb="FF1155CC"/>
        <sz val="8.0"/>
        <u/>
      </rPr>
      <t>keitasalif1993@gmail.com</t>
    </r>
  </si>
  <si>
    <t>Keita</t>
  </si>
  <si>
    <r>
      <rPr>
        <rFont val="&quot;Helvetica Neue&quot;"/>
        <color rgb="FF1155CC"/>
        <sz val="8.0"/>
        <u/>
      </rPr>
      <t>keitasalif1993@gmail.com</t>
    </r>
  </si>
  <si>
    <t>Je travaille les peinture</t>
  </si>
  <si>
    <t>Katembo</t>
  </si>
  <si>
    <t>Kazimbili giscard</t>
  </si>
  <si>
    <r>
      <rPr>
        <rFont val="&quot;Helvetica Neue&quot;"/>
        <color rgb="FF1155CC"/>
        <sz val="8.0"/>
        <u/>
      </rPr>
      <t>kazimbiligilckbes@gmail.com</t>
    </r>
  </si>
  <si>
    <t>Arnold kaseke</t>
  </si>
  <si>
    <t>Kaseke lundimu masimango</t>
  </si>
  <si>
    <r>
      <rPr>
        <rFont val="&quot;Helvetica Neue&quot;"/>
        <color rgb="FF1155CC"/>
        <sz val="8.0"/>
        <u/>
      </rPr>
      <t>arnoldekasekemasimango21@gmail.com</t>
    </r>
  </si>
  <si>
    <t>Aime Mpunga</t>
  </si>
  <si>
    <t>Jordan</t>
  </si>
  <si>
    <r>
      <rPr>
        <rFont val="&quot;Helvetica Neue&quot;"/>
        <color rgb="FF1155CC"/>
        <sz val="8.0"/>
        <u/>
      </rPr>
      <t>aimempunga33@gmail.com</t>
    </r>
  </si>
  <si>
    <t>Oui</t>
  </si>
  <si>
    <t>Nasrudiin</t>
  </si>
  <si>
    <r>
      <rPr>
        <rFont val="&quot;Helvetica Neue&quot;"/>
        <color rgb="FF1155CC"/>
        <sz val="8.0"/>
        <u/>
      </rPr>
      <t>nusridinmohamed633@gmail.com</t>
    </r>
  </si>
  <si>
    <t>Mariam</t>
  </si>
  <si>
    <t>Kromah</t>
  </si>
  <si>
    <r>
      <rPr>
        <rFont val="&quot;Helvetica Neue&quot;"/>
        <color rgb="FF1155CC"/>
        <sz val="8.0"/>
        <u/>
      </rPr>
      <t>Kromahmariam023@gmail.com</t>
    </r>
  </si>
  <si>
    <t>Francis</t>
  </si>
  <si>
    <t>KonГ©</t>
  </si>
  <si>
    <r>
      <rPr>
        <rFont val="&quot;Helvetica Neue&quot;"/>
        <color rgb="FF1155CC"/>
        <sz val="8.0"/>
        <u/>
      </rPr>
      <t>franciskone2224@gmail.com</t>
    </r>
  </si>
  <si>
    <t>Destin</t>
  </si>
  <si>
    <t>Kalema</t>
  </si>
  <si>
    <r>
      <rPr>
        <rFont val="&quot;Helvetica Neue&quot;"/>
        <color rgb="FF1155CC"/>
        <sz val="8.0"/>
        <u/>
      </rPr>
      <t>kalemadestin@gmail.com</t>
    </r>
  </si>
  <si>
    <t>Diaguily</t>
  </si>
  <si>
    <t>Toure</t>
  </si>
  <si>
    <r>
      <rPr>
        <rFont val="&quot;Helvetica Neue&quot;"/>
        <color rgb="FF1155CC"/>
        <sz val="8.0"/>
        <u/>
      </rPr>
      <t>Diaguilyt095@gmail.com</t>
    </r>
  </si>
  <si>
    <t>Odoi</t>
  </si>
  <si>
    <t>Bernice</t>
  </si>
  <si>
    <r>
      <rPr>
        <rFont val="&quot;Helvetica Neue&quot;"/>
        <color rgb="FF1155CC"/>
        <sz val="8.0"/>
        <u/>
      </rPr>
      <t>odoibernice6@gmail.com</t>
    </r>
  </si>
  <si>
    <t>modoub</t>
  </si>
  <si>
    <t>bah</t>
  </si>
  <si>
    <r>
      <rPr>
        <rFont val="&quot;Helvetica Neue&quot;"/>
        <color rgb="FF1155CC"/>
        <sz val="8.0"/>
        <u/>
      </rPr>
      <t>manjaibah2014@gmail.com</t>
    </r>
  </si>
  <si>
    <t>Thiam</t>
  </si>
  <si>
    <t>Nouhou</t>
  </si>
  <si>
    <t>Thiamloura nouhoue-mail com2002</t>
  </si>
  <si>
    <t>Souleymane</t>
  </si>
  <si>
    <t>Coulibaly</t>
  </si>
  <si>
    <r>
      <rPr>
        <rFont val="&quot;Helvetica Neue&quot;"/>
        <color rgb="FF1155CC"/>
        <sz val="8.0"/>
        <u/>
      </rPr>
      <t>sc7994832@gmail.com</t>
    </r>
  </si>
  <si>
    <t>Lyn</t>
  </si>
  <si>
    <t>Siemens</t>
  </si>
  <si>
    <r>
      <rPr>
        <rFont val="&quot;Helvetica Neue&quot;"/>
        <color rgb="FF1155CC"/>
        <sz val="8.0"/>
        <u/>
      </rPr>
      <t>Lynlsdesigns12@gmail.com</t>
    </r>
  </si>
  <si>
    <t>Abdourahimou</t>
  </si>
  <si>
    <t>Diallo</t>
  </si>
  <si>
    <r>
      <rPr>
        <rFont val="&quot;Helvetica Neue&quot;"/>
        <color rgb="FF1155CC"/>
        <sz val="8.0"/>
        <u/>
      </rPr>
      <t>talladiallo182@gmail.com</t>
    </r>
  </si>
  <si>
    <t>00221 77 474 80 34</t>
  </si>
  <si>
    <t>Abuukar</t>
  </si>
  <si>
    <t>Axmed</t>
  </si>
  <si>
    <r>
      <rPr>
        <rFont val="&quot;Helvetica Neue&quot;"/>
        <color rgb="FF1155CC"/>
        <sz val="8.0"/>
        <u/>
      </rPr>
      <t>abuukaraxmed66@gmail.com</t>
    </r>
  </si>
  <si>
    <t>6 12553671</t>
  </si>
  <si>
    <t>Mahamba</t>
  </si>
  <si>
    <t>Sadiki johnson</t>
  </si>
  <si>
    <r>
      <rPr>
        <rFont val="&quot;Helvetica Neue&quot;"/>
        <color rgb="FF1155CC"/>
        <sz val="8.0"/>
        <u/>
      </rPr>
      <t>mahambasadikijohnson@gmail.com</t>
    </r>
  </si>
  <si>
    <t>Boubacar</t>
  </si>
  <si>
    <t>Barry</t>
  </si>
  <si>
    <r>
      <rPr>
        <rFont val="&quot;Helvetica Neue&quot;"/>
        <color rgb="FF1155CC"/>
        <sz val="8.0"/>
        <u/>
      </rPr>
      <t>bb6204719@gmail.com</t>
    </r>
  </si>
  <si>
    <t>NГЁma</t>
  </si>
  <si>
    <t>Lamah</t>
  </si>
  <si>
    <r>
      <rPr>
        <rFont val="&quot;Helvetica Neue&quot;"/>
        <color rgb="FF1155CC"/>
        <sz val="8.0"/>
        <u/>
      </rPr>
      <t>louapierre496@gmail.com</t>
    </r>
  </si>
  <si>
    <t>TCHOBYANG BAMBE</t>
  </si>
  <si>
    <t>NGABSALAH</t>
  </si>
  <si>
    <r>
      <rPr>
        <rFont val="&quot;Helvetica Neue&quot;"/>
        <color rgb="FF1155CC"/>
        <sz val="8.0"/>
        <u/>
      </rPr>
      <t>tchobybambe@gmail.com</t>
    </r>
  </si>
  <si>
    <t>Ibrahima</t>
  </si>
  <si>
    <t>TraorГ©</t>
  </si>
  <si>
    <r>
      <rPr>
        <rFont val="&quot;Helvetica Neue&quot;"/>
        <color rgb="FF1155CC"/>
        <sz val="8.0"/>
        <u/>
      </rPr>
      <t>it1153731@gmail.com</t>
    </r>
  </si>
  <si>
    <t>Oulasse</t>
  </si>
  <si>
    <t>Abraham</t>
  </si>
  <si>
    <r>
      <rPr>
        <rFont val="&quot;Helvetica Neue&quot;"/>
        <color rgb="FF1155CC"/>
        <sz val="8.0"/>
        <u/>
      </rPr>
      <t>oulasset@gmail.com</t>
    </r>
  </si>
  <si>
    <t>Abdoulaye</t>
  </si>
  <si>
    <r>
      <rPr>
        <rFont val="&quot;Helvetica Neue&quot;"/>
        <color rgb="FF1155CC"/>
        <sz val="8.0"/>
        <u/>
      </rPr>
      <t>abdoulayebonfils1990@gmail.com</t>
    </r>
  </si>
  <si>
    <t>abdoulayebonfils1990@gmail.</t>
  </si>
  <si>
    <t>Maxamed</t>
  </si>
  <si>
    <t>ibraahin</t>
  </si>
  <si>
    <r>
      <rPr>
        <rFont val="&quot;Helvetica Neue&quot;"/>
        <color rgb="FF1155CC"/>
        <sz val="8.0"/>
        <u/>
      </rPr>
      <t>maxameddeeqibrahim92@gmail.com</t>
    </r>
  </si>
  <si>
    <t>Darwal</t>
  </si>
  <si>
    <t>Diane marleine</t>
  </si>
  <si>
    <t>NGOLO NTSAKA</t>
  </si>
  <si>
    <r>
      <rPr>
        <rFont val="&quot;Helvetica Neue&quot;"/>
        <color rgb="FF1155CC"/>
        <sz val="8.0"/>
        <u/>
      </rPr>
      <t>christyngolo@gmail.com</t>
    </r>
  </si>
  <si>
    <t>Edmond</t>
  </si>
  <si>
    <t>Ishag</t>
  </si>
  <si>
    <r>
      <rPr>
        <rFont val="&quot;Helvetica Neue&quot;"/>
        <color rgb="FF1155CC"/>
        <sz val="8.0"/>
        <u/>
      </rPr>
      <t>info@edmondishag.com</t>
    </r>
  </si>
  <si>
    <t>JULES MARIE JEANNOT LUC SOLOFO</t>
  </si>
  <si>
    <t>RASOLONDRAIBE</t>
  </si>
  <si>
    <r>
      <rPr>
        <rFont val="&quot;Helvetica Neue&quot;"/>
        <color rgb="FF1155CC"/>
        <sz val="8.0"/>
        <u/>
      </rPr>
      <t>julesjeannot@outlook.com</t>
    </r>
  </si>
  <si>
    <t>Grace</t>
  </si>
  <si>
    <t>Lifoli</t>
  </si>
  <si>
    <r>
      <rPr>
        <rFont val="&quot;Helvetica Neue&quot;"/>
        <color rgb="FF1155CC"/>
        <sz val="8.0"/>
        <u/>
      </rPr>
      <t>grace.lifoli@icloud.com</t>
    </r>
  </si>
  <si>
    <t>IDRISSA</t>
  </si>
  <si>
    <t>BADJI</t>
  </si>
  <si>
    <r>
      <rPr>
        <rFont val="&quot;Helvetica Neue&quot;"/>
        <color rgb="FF1155CC"/>
        <sz val="8.0"/>
        <u/>
      </rPr>
      <t>Idrissacheuchabadji@gmail.com</t>
    </r>
  </si>
  <si>
    <t>Demerice</t>
  </si>
  <si>
    <t>Langa</t>
  </si>
  <si>
    <t>@Gmail. Com demericelanga</t>
  </si>
  <si>
    <t>Hategekimana</t>
  </si>
  <si>
    <t>Elisa</t>
  </si>
  <si>
    <r>
      <rPr>
        <rFont val="&quot;Helvetica Neue&quot;"/>
        <color rgb="FF1155CC"/>
        <sz val="8.0"/>
        <u/>
      </rPr>
      <t>e222115@gmail.com</t>
    </r>
  </si>
  <si>
    <t>Azariah</t>
  </si>
  <si>
    <t>Nawej</t>
  </si>
  <si>
    <r>
      <rPr>
        <rFont val="&quot;Helvetica Neue&quot;"/>
        <color rgb="FF1155CC"/>
        <sz val="8.0"/>
        <u/>
      </rPr>
      <t>azariahnawej06@gmail.com</t>
    </r>
  </si>
  <si>
    <r>
      <rPr>
        <rFont val="&quot;Helvetica Neue&quot;"/>
        <color rgb="FF1155CC"/>
        <sz val="8.0"/>
        <u/>
      </rPr>
      <t>diallomohamedcherif551@gmail.com</t>
    </r>
  </si>
  <si>
    <t>Katoma</t>
  </si>
  <si>
    <t>Lama</t>
  </si>
  <si>
    <r>
      <rPr>
        <rFont val="&quot;Helvetica Neue&quot;"/>
        <color rgb="FF1155CC"/>
        <sz val="8.0"/>
        <u/>
      </rPr>
      <t>lamakatoma5@gmail.com</t>
    </r>
  </si>
  <si>
    <t>00228 92 18 63 82</t>
  </si>
  <si>
    <t>Mamy jimmy</t>
  </si>
  <si>
    <t>Rakotozafy</t>
  </si>
  <si>
    <r>
      <rPr>
        <rFont val="&quot;Helvetica Neue&quot;"/>
        <color rgb="FF1155CC"/>
        <sz val="8.0"/>
        <u/>
      </rPr>
      <t>systemekalilinux@gmail.com</t>
    </r>
  </si>
  <si>
    <t>THUWAMBE</t>
  </si>
  <si>
    <t>Emmanuel</t>
  </si>
  <si>
    <r>
      <rPr>
        <rFont val="&quot;Helvetica Neue&quot;"/>
        <color rgb="FF1155CC"/>
        <sz val="8.0"/>
        <u/>
      </rPr>
      <t>ftwambemmanuel2019@gmail.com</t>
    </r>
  </si>
  <si>
    <t>Eminem</t>
  </si>
  <si>
    <t>Aimeron Fred</t>
  </si>
  <si>
    <r>
      <rPr>
        <rFont val="&quot;Helvetica Neue&quot;"/>
        <color rgb="FF1155CC"/>
        <sz val="8.0"/>
        <u/>
      </rPr>
      <t>aimeronfred4@gmail.com</t>
    </r>
  </si>
  <si>
    <t>Rovasoa marolahy</t>
  </si>
  <si>
    <t>Rakotonirina</t>
  </si>
  <si>
    <r>
      <rPr>
        <rFont val="&quot;Helvetica Neue&quot;"/>
        <color rgb="FF1155CC"/>
        <sz val="8.0"/>
        <u/>
      </rPr>
      <t>rakotonirinarovasoamarolahy@gmail.c</t>
    </r>
  </si>
  <si>
    <t>Mariama Issa</t>
  </si>
  <si>
    <r>
      <rPr>
        <rFont val="&quot;Helvetica Neue&quot;"/>
        <color rgb="FF1155CC"/>
        <sz val="8.0"/>
        <u/>
      </rPr>
      <t>mariamaissa09@gmail.com</t>
    </r>
  </si>
  <si>
    <t>Bamigboche</t>
  </si>
  <si>
    <t>Youssouf</t>
  </si>
  <si>
    <r>
      <rPr>
        <rFont val="&quot;Helvetica Neue&quot;"/>
        <color rgb="FF1155CC"/>
        <sz val="8.0"/>
        <u/>
      </rPr>
      <t>youssoufbamigboche@gmail.com</t>
    </r>
  </si>
  <si>
    <t>Malik</t>
  </si>
  <si>
    <t>Fall</t>
  </si>
  <si>
    <r>
      <rPr>
        <rFont val="&quot;Helvetica Neue&quot;"/>
        <color rgb="FF1155CC"/>
        <sz val="8.0"/>
        <u/>
      </rPr>
      <t>Aquilania96@gmail.com</t>
    </r>
  </si>
  <si>
    <t>INYANGI</t>
  </si>
  <si>
    <t>Giresse</t>
  </si>
  <si>
    <r>
      <rPr>
        <rFont val="&quot;Helvetica Neue&quot;"/>
        <color rgb="FF1155CC"/>
        <sz val="8.0"/>
        <u/>
      </rPr>
      <t>giresseinya001@gmail.com</t>
    </r>
  </si>
  <si>
    <t>Steve warson</t>
  </si>
  <si>
    <t>Moukala</t>
  </si>
  <si>
    <r>
      <rPr>
        <rFont val="&quot;Helvetica Neue&quot;"/>
        <color rgb="FF1155CC"/>
        <sz val="8.0"/>
        <u/>
      </rPr>
      <t>moukalastevewarson@gmail.com</t>
    </r>
  </si>
  <si>
    <t>242 066075887</t>
  </si>
  <si>
    <t>Glad</t>
  </si>
  <si>
    <t>Ibngoyi</t>
  </si>
  <si>
    <r>
      <rPr>
        <rFont val="&quot;Helvetica Neue&quot;"/>
        <color rgb="FF1155CC"/>
        <sz val="8.0"/>
        <u/>
      </rPr>
      <t>ibngoyiglad@gmail.com</t>
    </r>
  </si>
  <si>
    <t>Ravololonirina</t>
  </si>
  <si>
    <t>Clarisse</t>
  </si>
  <si>
    <r>
      <rPr>
        <rFont val="&quot;Helvetica Neue&quot;"/>
        <color rgb="FF1155CC"/>
        <sz val="8.0"/>
        <u/>
      </rPr>
      <t>cravololonirina04@gmail.com</t>
    </r>
  </si>
  <si>
    <t>Siaka</t>
  </si>
  <si>
    <t>Conde</t>
  </si>
  <si>
    <t>La GuinГ©e рџ‡¬рџ‡і</t>
  </si>
  <si>
    <t>KPOTO</t>
  </si>
  <si>
    <t>OKE ADRIEN</t>
  </si>
  <si>
    <r>
      <rPr>
        <rFont val="&quot;Helvetica Neue&quot;"/>
        <color rgb="FF1155CC"/>
        <sz val="8.0"/>
        <u/>
      </rPr>
      <t>jujuabo62@gmail.com</t>
    </r>
  </si>
  <si>
    <t>Lassina</t>
  </si>
  <si>
    <t>Travail</t>
  </si>
  <si>
    <t>CissГ©</t>
  </si>
  <si>
    <t>Aboubacar</t>
  </si>
  <si>
    <r>
      <rPr>
        <rFont val="&quot;Helvetica Neue&quot;"/>
        <color rgb="FF1155CC"/>
        <sz val="8.0"/>
        <u/>
      </rPr>
      <t>a621039743@gmail.com</t>
    </r>
  </si>
  <si>
    <t>Kalifa</t>
  </si>
  <si>
    <t>Traore</t>
  </si>
  <si>
    <r>
      <rPr>
        <rFont val="&quot;Helvetica Neue&quot;"/>
        <color rgb="FF1155CC"/>
        <sz val="8.0"/>
        <u/>
      </rPr>
      <t>kt237097@gmail.com</t>
    </r>
  </si>
  <si>
    <t>Hacimana</t>
  </si>
  <si>
    <t>Fulgence</t>
  </si>
  <si>
    <r>
      <rPr>
        <rFont val="&quot;Helvetica Neue&quot;"/>
        <color rgb="FF1155CC"/>
        <sz val="8.0"/>
        <u/>
      </rPr>
      <t>hacimanafulgence339@gmail.com</t>
    </r>
  </si>
  <si>
    <t>CELINE</t>
  </si>
  <si>
    <t>PEHE</t>
  </si>
  <si>
    <r>
      <rPr>
        <rFont val="&quot;Helvetica Neue&quot;"/>
        <color rgb="FF1155CC"/>
        <sz val="8.0"/>
        <u/>
      </rPr>
      <t>minsereyaxel@gmail.com</t>
    </r>
  </si>
  <si>
    <t>Diambou</t>
  </si>
  <si>
    <t>LГ©vi djo</t>
  </si>
  <si>
    <r>
      <rPr>
        <rFont val="&quot;Helvetica Neue&quot;"/>
        <color rgb="FF1155CC"/>
        <sz val="8.0"/>
        <u/>
      </rPr>
      <t>Levisdjo431@gmail.com</t>
    </r>
  </si>
  <si>
    <t>Samson</t>
  </si>
  <si>
    <t>Kamphen</t>
  </si>
  <si>
    <r>
      <rPr>
        <rFont val="&quot;Helvetica Neue&quot;"/>
        <color rgb="FF1155CC"/>
        <sz val="8.0"/>
        <u/>
      </rPr>
      <t>samsonkamphen06@gmail.com</t>
    </r>
  </si>
  <si>
    <t>Sanny Mohamed</t>
  </si>
  <si>
    <t>MAMA</t>
  </si>
  <si>
    <r>
      <rPr>
        <rFont val="&quot;Helvetica Neue&quot;"/>
        <color rgb="FF1155CC"/>
        <sz val="8.0"/>
        <u/>
      </rPr>
      <t>sannymohamedm@gmail.com</t>
    </r>
  </si>
  <si>
    <t>JEAN MATHURIN</t>
  </si>
  <si>
    <t>NGAINDIRO BATO</t>
  </si>
  <si>
    <r>
      <rPr>
        <rFont val="&quot;Helvetica Neue&quot;"/>
        <color rgb="FF1155CC"/>
        <sz val="8.0"/>
        <u/>
      </rPr>
      <t>jesustimatou77@gmail.com</t>
    </r>
  </si>
  <si>
    <t>Evariste</t>
  </si>
  <si>
    <t>NZAYIBONANTE</t>
  </si>
  <si>
    <r>
      <rPr>
        <rFont val="&quot;Helvetica Neue&quot;"/>
        <color rgb="FF1155CC"/>
        <sz val="8.0"/>
        <u/>
      </rPr>
      <t>nzayibona69@gmail.com</t>
    </r>
  </si>
  <si>
    <t>CondГ©</t>
  </si>
  <si>
    <r>
      <rPr>
        <rFont val="&quot;Helvetica Neue&quot;"/>
        <color rgb="FF1155CC"/>
        <sz val="8.0"/>
        <u/>
      </rPr>
      <t>moustaphaconde061@gmail.com</t>
    </r>
  </si>
  <si>
    <t>Oumar</t>
  </si>
  <si>
    <t>Bathily</t>
  </si>
  <si>
    <r>
      <rPr>
        <rFont val="&quot;Helvetica Neue&quot;"/>
        <color rgb="FF1155CC"/>
        <sz val="8.0"/>
        <u/>
      </rPr>
      <t>oumarbat71@gmail.com</t>
    </r>
  </si>
  <si>
    <t>Jan</t>
  </si>
  <si>
    <t>Raj</t>
  </si>
  <si>
    <r>
      <rPr>
        <rFont val="&quot;Helvetica Neue&quot;"/>
        <color rgb="FF1155CC"/>
        <sz val="8.0"/>
        <u/>
      </rPr>
      <t>jana.r020@gmail.com</t>
    </r>
  </si>
  <si>
    <t>Richard</t>
  </si>
  <si>
    <t>Silvera</t>
  </si>
  <si>
    <r>
      <rPr>
        <rFont val="&quot;Helvetica Neue&quot;"/>
        <color rgb="FF1155CC"/>
        <sz val="8.0"/>
        <u/>
      </rPr>
      <t>silvernic2@gmail.com</t>
    </r>
  </si>
  <si>
    <t>Mikahelia</t>
  </si>
  <si>
    <t>Wellington</t>
  </si>
  <si>
    <r>
      <rPr>
        <rFont val="&quot;Helvetica Neue&quot;"/>
        <color rgb="FF1155CC"/>
        <sz val="8.0"/>
        <u/>
      </rPr>
      <t>mikaheliahs@gmail.com</t>
    </r>
  </si>
  <si>
    <t>1 (289) 923-1027</t>
  </si>
  <si>
    <t>Duane</t>
  </si>
  <si>
    <r>
      <rPr>
        <rFont val="&quot;Helvetica Neue&quot;"/>
        <color rgb="FF1155CC"/>
        <sz val="8.0"/>
        <u/>
      </rPr>
      <t>duane@duanewellington.ca</t>
    </r>
  </si>
  <si>
    <t>Absatou</t>
  </si>
  <si>
    <r>
      <rPr>
        <rFont val="&quot;Helvetica Neue&quot;"/>
        <color rgb="FF1155CC"/>
        <sz val="8.0"/>
        <u/>
      </rPr>
      <t>ndeyengawondiaye@gmail.com</t>
    </r>
  </si>
  <si>
    <t>Nizeyimana</t>
  </si>
  <si>
    <t>Eric</t>
  </si>
  <si>
    <r>
      <rPr>
        <rFont val="&quot;Helvetica Neue&quot;"/>
        <color rgb="FF1155CC"/>
        <sz val="8.0"/>
        <u/>
      </rPr>
      <t>nizeyimana189@gmail.com</t>
    </r>
  </si>
  <si>
    <t>Mome lary</t>
  </si>
  <si>
    <t>KOUD</t>
  </si>
  <si>
    <r>
      <t xml:space="preserve">matchs </t>
    </r>
    <r>
      <rPr>
        <rFont val="&quot;Helvetica Neue&quot;"/>
        <color rgb="FF1155CC"/>
        <sz val="8.0"/>
        <u/>
      </rPr>
      <t>seigneur@gmail.com</t>
    </r>
  </si>
  <si>
    <r>
      <rPr>
        <rFont val="&quot;Helvetica Neue&quot;"/>
        <color rgb="FF1155CC"/>
        <sz val="8.0"/>
        <u/>
      </rPr>
      <t>matchseigneur@gmail.com</t>
    </r>
  </si>
  <si>
    <t>Blaise</t>
  </si>
  <si>
    <t>Masra</t>
  </si>
  <si>
    <t>Tchad mangalmГ©</t>
  </si>
  <si>
    <t>66 87 68 32</t>
  </si>
  <si>
    <t>Samy</t>
  </si>
  <si>
    <t>Tabana</t>
  </si>
  <si>
    <r>
      <rPr>
        <rFont val="&quot;Helvetica Neue&quot;"/>
        <color rgb="FF1155CC"/>
        <sz val="8.0"/>
        <u/>
      </rPr>
      <t>Samytabana69@gmail.com</t>
    </r>
  </si>
  <si>
    <t>GГ©rard Bradock</t>
  </si>
  <si>
    <t>Pagbanda</t>
  </si>
  <si>
    <t>Centrafrique</t>
  </si>
  <si>
    <t>Cheikhou</t>
  </si>
  <si>
    <t>Demba</t>
  </si>
  <si>
    <r>
      <rPr>
        <rFont val="&quot;Helvetica Neue&quot;"/>
        <color rgb="FF1155CC"/>
        <sz val="8.0"/>
        <u/>
      </rPr>
      <t>cheikhoudemba171@gmail.com</t>
    </r>
  </si>
  <si>
    <t>Makhtar</t>
  </si>
  <si>
    <r>
      <rPr>
        <rFont val="&quot;Helvetica Neue&quot;"/>
        <color rgb="FF1155CC"/>
        <sz val="8.0"/>
        <u/>
      </rPr>
      <t>bambamakhtar2@gmail.com</t>
    </r>
  </si>
  <si>
    <t>Guy</t>
  </si>
  <si>
    <t>Alingi</t>
  </si>
  <si>
    <r>
      <rPr>
        <rFont val="&quot;Helvetica Neue&quot;"/>
        <color rgb="FF1155CC"/>
        <sz val="8.0"/>
        <u/>
      </rPr>
      <t>guyalingi@gmail.com</t>
    </r>
  </si>
  <si>
    <t>Mamadou</t>
  </si>
  <si>
    <t>Kama</t>
  </si>
  <si>
    <r>
      <rPr>
        <rFont val="&quot;Helvetica Neue&quot;"/>
        <color rgb="FF1155CC"/>
        <sz val="8.0"/>
        <u/>
      </rPr>
      <t>kamamamadoulamine@gmail.com</t>
    </r>
  </si>
  <si>
    <t>00221 776199607</t>
  </si>
  <si>
    <t>Sy</t>
  </si>
  <si>
    <t>Abdoulayemoussa</t>
  </si>
  <si>
    <r>
      <rPr>
        <rFont val="&quot;Helvetica Neue&quot;"/>
        <color rgb="FF1155CC"/>
        <sz val="8.0"/>
        <u/>
      </rPr>
      <t>abdoulaye59@gmail.com</t>
    </r>
  </si>
  <si>
    <t>Mamadou dioulde</t>
  </si>
  <si>
    <t>diallo</t>
  </si>
  <si>
    <r>
      <rPr>
        <rFont val="&quot;Helvetica Neue&quot;"/>
        <color rgb="FF1155CC"/>
        <sz val="8.0"/>
        <u/>
      </rPr>
      <t>elhadjidiallo.20@icloud.com</t>
    </r>
  </si>
  <si>
    <t>Demdele</t>
  </si>
  <si>
    <t>Helebake</t>
  </si>
  <si>
    <r>
      <rPr>
        <rFont val="&quot;Helvetica Neue&quot;"/>
        <color rgb="FF1155CC"/>
        <sz val="8.0"/>
        <u/>
      </rPr>
      <t>helebakedemdele@gmail.com</t>
    </r>
  </si>
  <si>
    <t>Malien</t>
  </si>
  <si>
    <t>Moussa</t>
  </si>
  <si>
    <t>Mahamat</t>
  </si>
  <si>
    <r>
      <rPr>
        <rFont val="&quot;Helvetica Neue&quot;"/>
        <color rgb="FF1155CC"/>
        <sz val="8.0"/>
        <u/>
      </rPr>
      <t>Moussaksikks@gmail.com</t>
    </r>
  </si>
  <si>
    <t>Diagne</t>
  </si>
  <si>
    <t>Papa</t>
  </si>
  <si>
    <r>
      <rPr>
        <rFont val="&quot;Helvetica Neue&quot;"/>
        <color rgb="FF1155CC"/>
        <sz val="8.0"/>
        <u/>
      </rPr>
      <t>chambrelofficiel@gmail.com</t>
    </r>
  </si>
  <si>
    <t>Wens</t>
  </si>
  <si>
    <t>Bivula wata</t>
  </si>
  <si>
    <r>
      <rPr>
        <rFont val="&quot;Helvetica Neue&quot;"/>
        <color rgb="FF1155CC"/>
        <sz val="8.0"/>
        <u/>
      </rPr>
      <t>wensbivulawata@gmail.com</t>
    </r>
  </si>
  <si>
    <t>Cherif</t>
  </si>
  <si>
    <t>Sane</t>
  </si>
  <si>
    <r>
      <rPr>
        <rFont val="&quot;Helvetica Neue&quot;"/>
        <color rgb="FF1155CC"/>
        <sz val="8.0"/>
        <u/>
      </rPr>
      <t>cherif41186@gmail.com</t>
    </r>
  </si>
  <si>
    <t>Santosh</t>
  </si>
  <si>
    <t>Kumar</t>
  </si>
  <si>
    <r>
      <rPr>
        <rFont val="&quot;Helvetica Neue&quot;"/>
        <color rgb="FF1155CC"/>
        <sz val="8.0"/>
        <u/>
      </rPr>
      <t>santosh.reality@gmail.com</t>
    </r>
  </si>
  <si>
    <t>Eliasse</t>
  </si>
  <si>
    <r>
      <t xml:space="preserve">Yass Diallo </t>
    </r>
    <r>
      <rPr>
        <rFont val="&quot;Helvetica Neue&quot;"/>
        <color rgb="FF1155CC"/>
        <sz val="8.0"/>
        <u/>
      </rPr>
      <t>43@gmail.com</t>
    </r>
  </si>
  <si>
    <t>Shongo</t>
  </si>
  <si>
    <t>Jonathan</t>
  </si>
  <si>
    <r>
      <rPr>
        <rFont val="&quot;Helvetica Neue&quot;"/>
        <color rgb="FF1155CC"/>
        <sz val="8.0"/>
        <u/>
      </rPr>
      <t>Shongojonathan@icloud.com</t>
    </r>
  </si>
  <si>
    <t>(+243)824412149</t>
  </si>
  <si>
    <t>Bah</t>
  </si>
  <si>
    <t>Rachida</t>
  </si>
  <si>
    <r>
      <rPr>
        <rFont val="&quot;Helvetica Neue&quot;"/>
        <color rgb="FF1155CC"/>
        <sz val="8.0"/>
        <u/>
      </rPr>
      <t>Rachidabrahimbah@gmail.com</t>
    </r>
  </si>
  <si>
    <t>Noelie</t>
  </si>
  <si>
    <t>AGBOZO</t>
  </si>
  <si>
    <r>
      <rPr>
        <rFont val="&quot;Helvetica Neue&quot;"/>
        <color rgb="FF1155CC"/>
        <sz val="8.0"/>
        <u/>
      </rPr>
      <t>agbozonoelie@gmail.com</t>
    </r>
  </si>
  <si>
    <t>Gilda</t>
  </si>
  <si>
    <t>Jack</t>
  </si>
  <si>
    <r>
      <rPr>
        <rFont val="&quot;Helvetica Neue&quot;"/>
        <color rgb="FF1155CC"/>
        <sz val="8.0"/>
        <u/>
      </rPr>
      <t>gildammjack@hotmail.com</t>
    </r>
  </si>
  <si>
    <t>Pankaj</t>
  </si>
  <si>
    <r>
      <rPr>
        <rFont val="&quot;Helvetica Neue&quot;"/>
        <color rgb="FF1155CC"/>
        <sz val="8.0"/>
        <u/>
      </rPr>
      <t>realtor.pankajpatel@gmail.com</t>
    </r>
  </si>
  <si>
    <t>(647) 760-7061</t>
  </si>
  <si>
    <t>Suja</t>
  </si>
  <si>
    <t>James</t>
  </si>
  <si>
    <r>
      <rPr>
        <rFont val="&quot;Helvetica Neue&quot;"/>
        <color rgb="FF1155CC"/>
        <sz val="8.0"/>
        <u/>
      </rPr>
      <t>Suja.vja@gmail.com</t>
    </r>
  </si>
  <si>
    <t>Full</t>
  </si>
  <si>
    <t>Power</t>
  </si>
  <si>
    <r>
      <rPr>
        <rFont val="&quot;Helvetica Neue&quot;"/>
        <color rgb="FF1155CC"/>
        <sz val="8.0"/>
        <u/>
      </rPr>
      <t>Fullpower47@danali.com</t>
    </r>
  </si>
  <si>
    <t>Seydina</t>
  </si>
  <si>
    <r>
      <rPr>
        <rFont val="&quot;Helvetica Neue&quot;"/>
        <color rgb="FF1155CC"/>
        <sz val="8.0"/>
        <u/>
      </rPr>
      <t>Sseydina15@gmail.com</t>
    </r>
  </si>
  <si>
    <t>76 022 95 25</t>
  </si>
  <si>
    <t>Alseny</t>
  </si>
  <si>
    <t>Sylla</t>
  </si>
  <si>
    <t>628 63 51 77</t>
  </si>
  <si>
    <t>dolia</t>
  </si>
  <si>
    <t>Mangitriky</t>
  </si>
  <si>
    <r>
      <rPr>
        <rFont val="&quot;Helvetica Neue&quot;"/>
        <color rgb="FF1155CC"/>
        <sz val="8.0"/>
        <u/>
      </rPr>
      <t>madolikays@gmail.com</t>
    </r>
  </si>
  <si>
    <t>BIANGONGA</t>
  </si>
  <si>
    <t>MADZEYA</t>
  </si>
  <si>
    <r>
      <rPr>
        <rFont val="&quot;Helvetica Neue&quot;"/>
        <color rgb="FF1155CC"/>
        <sz val="8.0"/>
        <u/>
      </rPr>
      <t>garciamadzeya@gmail.com</t>
    </r>
  </si>
  <si>
    <t>Adama Gnalen</t>
  </si>
  <si>
    <r>
      <rPr>
        <rFont val="&quot;Helvetica Neue&quot;"/>
        <color rgb="FF1155CC"/>
        <sz val="8.0"/>
        <u/>
      </rPr>
      <t>Adamagnalennbah@gmail.com</t>
    </r>
  </si>
  <si>
    <t>PAMELO</t>
  </si>
  <si>
    <t>Bakomba</t>
  </si>
  <si>
    <r>
      <rPr>
        <rFont val="&quot;Helvetica Neue&quot;"/>
        <color rgb="FF1155CC"/>
        <sz val="8.0"/>
        <u/>
      </rPr>
      <t>bakombapamelo@gmail.com</t>
    </r>
  </si>
  <si>
    <t>BAYIDIKILA MATONDO</t>
  </si>
  <si>
    <t>Laurence</t>
  </si>
  <si>
    <r>
      <rPr>
        <rFont val="&quot;Helvetica Neue&quot;"/>
        <color rgb="FF1155CC"/>
        <sz val="8.0"/>
        <u/>
      </rPr>
      <t>bayidikilalaurence4@gmail.com</t>
    </r>
  </si>
  <si>
    <t>Afoyomungu</t>
  </si>
  <si>
    <t>Jakisa</t>
  </si>
  <si>
    <r>
      <rPr>
        <rFont val="&quot;Helvetica Neue&quot;"/>
        <color rgb="FF1155CC"/>
        <sz val="8.0"/>
        <u/>
      </rPr>
      <t>Wizbob956@gmail.com</t>
    </r>
  </si>
  <si>
    <t>Dieu merci</t>
  </si>
  <si>
    <t>Ndungini</t>
  </si>
  <si>
    <r>
      <rPr>
        <rFont val="&quot;Helvetica Neue&quot;"/>
        <color rgb="FF1155CC"/>
        <sz val="8.0"/>
        <u/>
      </rPr>
      <t>dieumercindungini243@gmail.com</t>
    </r>
  </si>
  <si>
    <t>Mht Moulabat</t>
  </si>
  <si>
    <t>MAHADI</t>
  </si>
  <si>
    <r>
      <rPr>
        <rFont val="&quot;Helvetica Neue&quot;"/>
        <color rgb="FF1155CC"/>
        <sz val="8.0"/>
        <u/>
      </rPr>
      <t>mhtmahadi998@gmail.com</t>
    </r>
  </si>
  <si>
    <t>66145944 ou 99371214</t>
  </si>
  <si>
    <t>Ibrahima sory</t>
  </si>
  <si>
    <r>
      <rPr>
        <rFont val="&quot;Helvetica Neue&quot;"/>
        <color rgb="FF1155CC"/>
        <sz val="8.0"/>
        <u/>
      </rPr>
      <t>ibediallo314@gmail.com</t>
    </r>
  </si>
  <si>
    <t>Likombo</t>
  </si>
  <si>
    <t>Boodji</t>
  </si>
  <si>
    <r>
      <rPr>
        <rFont val="&quot;Helvetica Neue&quot;"/>
        <color rgb="FF1155CC"/>
        <sz val="8.0"/>
        <u/>
      </rPr>
      <t>depaullikombo@gmail.com</t>
    </r>
  </si>
  <si>
    <t>Fabrice</t>
  </si>
  <si>
    <t>Mukendi</t>
  </si>
  <si>
    <r>
      <rPr>
        <rFont val="&quot;Helvetica Neue&quot;"/>
        <color rgb="FF1155CC"/>
        <sz val="8.0"/>
        <u/>
      </rPr>
      <t>mukendifabrice81@gmail.com</t>
    </r>
  </si>
  <si>
    <t>MALICK</t>
  </si>
  <si>
    <t>SENE</t>
  </si>
  <si>
    <r>
      <rPr>
        <rFont val="&quot;Helvetica Neue&quot;"/>
        <color rgb="FF1155CC"/>
        <sz val="8.0"/>
        <u/>
      </rPr>
      <t>malickndick@gmail.com</t>
    </r>
  </si>
  <si>
    <t>Killer</t>
  </si>
  <si>
    <t>Ndumbu</t>
  </si>
  <si>
    <t>Г‰lГЁve</t>
  </si>
  <si>
    <t>Mujinga</t>
  </si>
  <si>
    <t>Nlandu dorcas</t>
  </si>
  <si>
    <r>
      <rPr>
        <rFont val="&quot;Helvetica Neue&quot;"/>
        <color rgb="FF1155CC"/>
        <sz val="8.0"/>
        <u/>
      </rPr>
      <t>mjfemmecapabledorcas@gmail.com</t>
    </r>
  </si>
  <si>
    <t>Yacoub moussa</t>
  </si>
  <si>
    <r>
      <rPr>
        <rFont val="&quot;Helvetica Neue&quot;"/>
        <color rgb="FF1155CC"/>
        <sz val="8.0"/>
        <u/>
      </rPr>
      <t>Myacoub550@gmail.com</t>
    </r>
  </si>
  <si>
    <t>00235 64964525</t>
  </si>
  <si>
    <t>Sadia</t>
  </si>
  <si>
    <t>TIGNAC</t>
  </si>
  <si>
    <r>
      <rPr>
        <rFont val="&quot;Helvetica Neue&quot;"/>
        <color rgb="FF1155CC"/>
        <sz val="8.0"/>
        <u/>
      </rPr>
      <t>totoronislas@gmail.com</t>
    </r>
  </si>
  <si>
    <t>El Hadji Malick Sy</t>
  </si>
  <si>
    <t>Diedhiou</t>
  </si>
  <si>
    <r>
      <rPr>
        <rFont val="&quot;Helvetica Neue&quot;"/>
        <color rgb="FF1155CC"/>
        <sz val="8.0"/>
        <u/>
      </rPr>
      <t>syhadji498@gmail.com</t>
    </r>
  </si>
  <si>
    <t>BENELIE LILIOSA</t>
  </si>
  <si>
    <t>KIMIA FOUKOULOU</t>
  </si>
  <si>
    <r>
      <rPr>
        <rFont val="&quot;Helvetica Neue&quot;"/>
        <color rgb="FF1155CC"/>
        <sz val="8.0"/>
        <u/>
      </rPr>
      <t>liliosakimia59@gmail.com</t>
    </r>
  </si>
  <si>
    <t>Gana</t>
  </si>
  <si>
    <t>Faye</t>
  </si>
  <si>
    <r>
      <rPr>
        <rFont val="&quot;Helvetica Neue&quot;"/>
        <color rgb="FF1155CC"/>
        <sz val="8.0"/>
        <u/>
      </rPr>
      <t>fayegana50@gmail.com</t>
    </r>
  </si>
  <si>
    <t>Gedeon</t>
  </si>
  <si>
    <t>Rondouba</t>
  </si>
  <si>
    <r>
      <rPr>
        <rFont val="&quot;Helvetica Neue&quot;"/>
        <color rgb="FF1155CC"/>
        <sz val="8.0"/>
        <u/>
      </rPr>
      <t>rondoubagedeon51@gmail.com</t>
    </r>
  </si>
  <si>
    <t>Al abbas</t>
  </si>
  <si>
    <t>Terapyoussouf</t>
  </si>
  <si>
    <r>
      <rPr>
        <rFont val="&quot;Helvetica Neue&quot;"/>
        <color rgb="FF1155CC"/>
        <sz val="8.0"/>
        <u/>
      </rPr>
      <t>Abbasterapyoussouf@gmail.com</t>
    </r>
  </si>
  <si>
    <t>Android</t>
  </si>
  <si>
    <t>Krishmi</t>
  </si>
  <si>
    <t>Sureinthira</t>
  </si>
  <si>
    <r>
      <rPr>
        <rFont val="&quot;Helvetica Neue&quot;"/>
        <color rgb="FF1155CC"/>
        <sz val="8.0"/>
        <u/>
      </rPr>
      <t>ksureinthira@hotmail.com</t>
    </r>
  </si>
  <si>
    <t>Roger</t>
  </si>
  <si>
    <t>Kouzolassana</t>
  </si>
  <si>
    <r>
      <rPr>
        <rFont val="&quot;Helvetica Neue&quot;"/>
        <color rgb="FF1155CC"/>
        <sz val="8.0"/>
        <u/>
      </rPr>
      <t>duckouzolassana@gmail.com</t>
    </r>
  </si>
  <si>
    <t>Delphin rufnel</t>
  </si>
  <si>
    <t>Nkodia</t>
  </si>
  <si>
    <r>
      <rPr>
        <rFont val="&quot;Helvetica Neue&quot;"/>
        <color rgb="FF1155CC"/>
        <sz val="8.0"/>
        <u/>
      </rPr>
      <t>nkodiadelphin@gmel.com</t>
    </r>
  </si>
  <si>
    <t>Emmanuella</t>
  </si>
  <si>
    <t>LEMOU</t>
  </si>
  <si>
    <r>
      <rPr>
        <rFont val="&quot;Helvetica Neue&quot;"/>
        <color rgb="FF1155CC"/>
        <sz val="8.0"/>
        <u/>
      </rPr>
      <t>emmanuellalemou@gmail.com</t>
    </r>
  </si>
  <si>
    <t>Adama</t>
  </si>
  <si>
    <r>
      <rPr>
        <rFont val="&quot;Helvetica Neue&quot;"/>
        <color rgb="FF1155CC"/>
        <sz val="8.0"/>
        <u/>
      </rPr>
      <t>adabaye.773904776@gmail.com</t>
    </r>
  </si>
  <si>
    <t>Ameera</t>
  </si>
  <si>
    <t>Alhiraki</t>
  </si>
  <si>
    <r>
      <rPr>
        <rFont val="&quot;Helvetica Neue&quot;"/>
        <color rgb="FF1155CC"/>
        <sz val="8.0"/>
        <u/>
      </rPr>
      <t>Ameera.alhiraki1@gmail.com</t>
    </r>
  </si>
  <si>
    <t>Moisse</t>
  </si>
  <si>
    <t>Djaki</t>
  </si>
  <si>
    <r>
      <rPr>
        <rFont val="&quot;Helvetica Neue&quot;"/>
        <color rgb="FF1155CC"/>
        <sz val="8.0"/>
        <u/>
      </rPr>
      <t>djakimoisse4@gmail.com</t>
    </r>
  </si>
  <si>
    <t>CГ©cile</t>
  </si>
  <si>
    <t>Gomis</t>
  </si>
  <si>
    <r>
      <rPr>
        <rFont val="&quot;Helvetica Neue&quot;"/>
        <color rgb="FF1155CC"/>
        <sz val="8.0"/>
        <u/>
      </rPr>
      <t>cecilegomis2000@gmail.com</t>
    </r>
  </si>
  <si>
    <t>NGANAWEI</t>
  </si>
  <si>
    <r>
      <t xml:space="preserve">Www </t>
    </r>
    <r>
      <rPr>
        <rFont val="&quot;Helvetica Neue&quot;"/>
        <color rgb="FF1155CC"/>
        <sz val="8.0"/>
        <u/>
      </rPr>
      <t>emmanuelnganawei@gmail.com</t>
    </r>
  </si>
  <si>
    <t>(+236)70756850</t>
  </si>
  <si>
    <t>Mado</t>
  </si>
  <si>
    <t>Kotis</t>
  </si>
  <si>
    <r>
      <rPr>
        <rFont val="&quot;Helvetica Neue&quot;"/>
        <color rgb="FF1155CC"/>
        <sz val="8.0"/>
        <u/>
      </rPr>
      <t>madokotis420@gmail.com</t>
    </r>
  </si>
  <si>
    <t>MaГЇmouna</t>
  </si>
  <si>
    <t>KIENOU</t>
  </si>
  <si>
    <r>
      <rPr>
        <rFont val="&quot;Helvetica Neue&quot;"/>
        <color rgb="FF1155CC"/>
        <sz val="8.0"/>
        <u/>
      </rPr>
      <t>maimounakienou6@gmail.com</t>
    </r>
  </si>
  <si>
    <t>93 25 59 77</t>
  </si>
  <si>
    <t>Moussavou</t>
  </si>
  <si>
    <t>Christy</t>
  </si>
  <si>
    <r>
      <rPr>
        <rFont val="&quot;Helvetica Neue&quot;"/>
        <color rgb="FF1155CC"/>
        <sz val="8.0"/>
        <u/>
      </rPr>
      <t>Moussavouchristy27@egmail.com</t>
    </r>
  </si>
  <si>
    <t>Karsa</t>
  </si>
  <si>
    <t>Yarinkou</t>
  </si>
  <si>
    <r>
      <rPr>
        <rFont val="&quot;Helvetica Neue&quot;"/>
        <color rgb="FF1155CC"/>
        <sz val="8.0"/>
        <u/>
      </rPr>
      <t>yarinkouk@gmail.com</t>
    </r>
  </si>
  <si>
    <t>Donkeu</t>
  </si>
  <si>
    <t>Franclin</t>
  </si>
  <si>
    <r>
      <rPr>
        <rFont val="&quot;Helvetica Neue&quot;"/>
        <color rgb="FF1155CC"/>
        <sz val="8.0"/>
        <u/>
      </rPr>
      <t>Donkeufranclin94@gmail.com</t>
    </r>
  </si>
  <si>
    <t>Nargues</t>
  </si>
  <si>
    <t>Hatami</t>
  </si>
  <si>
    <r>
      <rPr>
        <rFont val="&quot;Helvetica Neue&quot;"/>
        <color rgb="FF1155CC"/>
        <sz val="8.0"/>
        <u/>
      </rPr>
      <t>Nargueshatami@gmail.com</t>
    </r>
  </si>
  <si>
    <t>Ouattara</t>
  </si>
  <si>
    <r>
      <rPr>
        <rFont val="&quot;Helvetica Neue&quot;"/>
        <color rgb="FF1155CC"/>
        <sz val="8.0"/>
        <u/>
      </rPr>
      <t>aliouatt679@gmail.com</t>
    </r>
  </si>
  <si>
    <t>Muvuma</t>
  </si>
  <si>
    <t>Miji papy Gauthier</t>
  </si>
  <si>
    <r>
      <rPr>
        <rFont val="&quot;Helvetica Neue&quot;"/>
        <color rgb="FF1155CC"/>
        <sz val="8.0"/>
        <u/>
      </rPr>
      <t>muvumapapy7@gmail.com</t>
    </r>
  </si>
  <si>
    <t>Boukar</t>
  </si>
  <si>
    <t>Ibrahim Boukar</t>
  </si>
  <si>
    <t>Boukar Ibrahim</t>
  </si>
  <si>
    <t>Inussa</t>
  </si>
  <si>
    <t>DjalГі</t>
  </si>
  <si>
    <r>
      <rPr>
        <rFont val="&quot;Helvetica Neue&quot;"/>
        <color rgb="FF1155CC"/>
        <sz val="8.0"/>
        <u/>
      </rPr>
      <t>dinussa059770364652@gmail.com</t>
    </r>
  </si>
  <si>
    <t>Bienvenu</t>
  </si>
  <si>
    <t>Simadjingar</t>
  </si>
  <si>
    <r>
      <rPr>
        <rFont val="&quot;Helvetica Neue&quot;"/>
        <color rgb="FF1155CC"/>
        <sz val="8.0"/>
        <u/>
      </rPr>
      <t>bienvenusimadjingar@gmail.com</t>
    </r>
  </si>
  <si>
    <t>Ousmane</t>
  </si>
  <si>
    <t>Abdelkerim ramadane</t>
  </si>
  <si>
    <r>
      <rPr>
        <rFont val="&quot;Helvetica Neue&quot;"/>
        <color rgb="FF1155CC"/>
        <sz val="8.0"/>
        <u/>
      </rPr>
      <t>ousmaneabdelkerimramadane@gmail.com</t>
    </r>
  </si>
  <si>
    <t>KOTCHENE</t>
  </si>
  <si>
    <t>Kami</t>
  </si>
  <si>
    <r>
      <rPr>
        <rFont val="&quot;Helvetica Neue&quot;"/>
        <color rgb="FF1155CC"/>
        <sz val="8.0"/>
        <u/>
      </rPr>
      <t>kamikotchene72@gmail.com</t>
    </r>
  </si>
  <si>
    <t>Shamsuddin</t>
  </si>
  <si>
    <t>Yusufi</t>
  </si>
  <si>
    <r>
      <rPr>
        <rFont val="&quot;Helvetica Neue&quot;"/>
        <color rgb="FF1155CC"/>
        <sz val="8.0"/>
        <u/>
      </rPr>
      <t>shamsyusufi786@gmail.com</t>
    </r>
  </si>
  <si>
    <t>Joe</t>
  </si>
  <si>
    <t>Genova</t>
  </si>
  <si>
    <r>
      <rPr>
        <rFont val="&quot;Helvetica Neue&quot;"/>
        <color rgb="FF1155CC"/>
        <sz val="8.0"/>
        <u/>
      </rPr>
      <t>Acsnovaholdings@gmail.com</t>
    </r>
  </si>
  <si>
    <t>Paul Joshua</t>
  </si>
  <si>
    <t>Tanda</t>
  </si>
  <si>
    <r>
      <rPr>
        <rFont val="&quot;Helvetica Neue&quot;"/>
        <color rgb="FF1155CC"/>
        <sz val="8.0"/>
        <u/>
      </rPr>
      <t>pauljoshua.tanda2@cibc.com</t>
    </r>
  </si>
  <si>
    <t>Kabeya</t>
  </si>
  <si>
    <r>
      <rPr>
        <rFont val="&quot;Helvetica Neue&quot;"/>
        <color rgb="FF1155CC"/>
        <sz val="8.0"/>
        <u/>
      </rPr>
      <t>menjibarsoum@gmail.com</t>
    </r>
  </si>
  <si>
    <t>Amadou</t>
  </si>
  <si>
    <t>Satao</t>
  </si>
  <si>
    <r>
      <rPr>
        <rFont val="&quot;Helvetica Neue&quot;"/>
        <color rgb="FF1155CC"/>
        <sz val="8.0"/>
        <u/>
      </rPr>
      <t>sataoamadou599@gmail.com</t>
    </r>
  </si>
  <si>
    <t>Gina</t>
  </si>
  <si>
    <t>Zheng</t>
  </si>
  <si>
    <r>
      <rPr>
        <rFont val="&quot;Helvetica Neue&quot;"/>
        <color rgb="FF1155CC"/>
        <sz val="8.0"/>
        <u/>
      </rPr>
      <t>ginahopes@hmail.com</t>
    </r>
  </si>
  <si>
    <t>Mushimiyimana Mushimiyimana</t>
  </si>
  <si>
    <t>damascene</t>
  </si>
  <si>
    <r>
      <rPr>
        <rFont val="&quot;Helvetica Neue&quot;"/>
        <color rgb="FF1155CC"/>
        <sz val="8.0"/>
        <u/>
      </rPr>
      <t>salimsareh1@gmail.com</t>
    </r>
  </si>
  <si>
    <t>Omveer</t>
  </si>
  <si>
    <t>Rajput</t>
  </si>
  <si>
    <r>
      <rPr>
        <rFont val="&quot;Helvetica Neue&quot;"/>
        <color rgb="FF1155CC"/>
        <sz val="8.0"/>
        <u/>
      </rPr>
      <t>omveerrajput881@gmail.com</t>
    </r>
  </si>
  <si>
    <t>LOUMBI</t>
  </si>
  <si>
    <t>JOSIAS breech</t>
  </si>
  <si>
    <r>
      <rPr>
        <rFont val="&quot;Helvetica Neue&quot;"/>
        <color rgb="FF1155CC"/>
        <sz val="8.0"/>
        <u/>
      </rPr>
      <t>loumbijosias@gmail.com</t>
    </r>
  </si>
  <si>
    <t>abdoul raouf</t>
  </si>
  <si>
    <t>afo</t>
  </si>
  <si>
    <r>
      <rPr>
        <rFont val="&quot;Helvetica Neue&quot;"/>
        <color rgb="FF1155CC"/>
        <sz val="8.0"/>
        <u/>
      </rPr>
      <t>malamaforaouf@gmail.com</t>
    </r>
  </si>
  <si>
    <t>Diouf</t>
  </si>
  <si>
    <t>Daouda</t>
  </si>
  <si>
    <r>
      <rPr>
        <rFont val="&quot;Helvetica Neue&quot;"/>
        <color rgb="FF1155CC"/>
        <sz val="8.0"/>
        <u/>
      </rPr>
      <t>davidiouf1969@gmail.com</t>
    </r>
  </si>
  <si>
    <t>Samba</t>
  </si>
  <si>
    <t>Balde</t>
  </si>
  <si>
    <r>
      <rPr>
        <rFont val="&quot;Helvetica Neue&quot;"/>
        <color rgb="FF1155CC"/>
        <sz val="8.0"/>
        <u/>
      </rPr>
      <t>sambabalde75@hotmail.fr</t>
    </r>
  </si>
  <si>
    <t>Shahan</t>
  </si>
  <si>
    <t>Khan</t>
  </si>
  <si>
    <r>
      <rPr>
        <rFont val="&quot;Helvetica Neue&quot;"/>
        <color rgb="FF1155CC"/>
        <sz val="8.0"/>
        <u/>
      </rPr>
      <t>sk2811531@gmail.com</t>
    </r>
  </si>
  <si>
    <t>056-712-5245</t>
  </si>
  <si>
    <t>Mouhamadou Mansour</t>
  </si>
  <si>
    <t>Diop</t>
  </si>
  <si>
    <r>
      <rPr>
        <rFont val="&quot;Helvetica Neue&quot;"/>
        <color rgb="FF1155CC"/>
        <sz val="8.0"/>
        <u/>
      </rPr>
      <t>Makavelimb@gmail.com</t>
    </r>
  </si>
  <si>
    <t>761822752/785823223</t>
  </si>
  <si>
    <t>PAPA ABDOULAYE</t>
  </si>
  <si>
    <t>NDIAYE</t>
  </si>
  <si>
    <r>
      <rPr>
        <rFont val="&quot;Helvetica Neue&quot;"/>
        <color rgb="FF1155CC"/>
        <sz val="8.0"/>
        <u/>
      </rPr>
      <t>papaabdoulaye55@gmail.com</t>
    </r>
  </si>
  <si>
    <t>Soumaoro</t>
  </si>
  <si>
    <r>
      <rPr>
        <rFont val="&quot;Helvetica Neue&quot;"/>
        <color rgb="FF1155CC"/>
        <sz val="8.0"/>
        <u/>
      </rPr>
      <t>soumaoroamadou15@gmail.com</t>
    </r>
  </si>
  <si>
    <t>Wajid</t>
  </si>
  <si>
    <t>Hussain</t>
  </si>
  <si>
    <r>
      <rPr>
        <rFont val="&quot;Helvetica Neue&quot;"/>
        <color rgb="FF1155CC"/>
        <sz val="8.0"/>
        <u/>
      </rPr>
      <t>wajidhussainb05@gmail.com</t>
    </r>
  </si>
  <si>
    <t>Willie</t>
  </si>
  <si>
    <r>
      <rPr>
        <rFont val="&quot;Helvetica Neue&quot;"/>
        <color rgb="FF1155CC"/>
        <sz val="8.0"/>
        <u/>
      </rPr>
      <t>patrick10willie@gmail.com</t>
    </r>
  </si>
  <si>
    <t>Abakar tChoukou</t>
  </si>
  <si>
    <r>
      <rPr>
        <rFont val="&quot;Helvetica Neue&quot;"/>
        <color rgb="FF1155CC"/>
        <sz val="8.0"/>
        <u/>
      </rPr>
      <t>Mahamatabakarchoukou@yahoo.com</t>
    </r>
  </si>
  <si>
    <t>Cheikh</t>
  </si>
  <si>
    <r>
      <rPr>
        <rFont val="&quot;Helvetica Neue&quot;"/>
        <color rgb="FF1155CC"/>
        <sz val="8.0"/>
        <u/>
      </rPr>
      <t>cheikhndiayekhoum@yahoo.fr</t>
    </r>
  </si>
  <si>
    <t>EKLOU</t>
  </si>
  <si>
    <t>Kodjo Augustin</t>
  </si>
  <si>
    <r>
      <rPr>
        <rFont val="&quot;Helvetica Neue&quot;"/>
        <color rgb="FF1155CC"/>
        <sz val="8.0"/>
        <u/>
      </rPr>
      <t>eklouaugustin93@gmail.com</t>
    </r>
  </si>
  <si>
    <t>Ibrahim</t>
  </si>
  <si>
    <t>Jumu</t>
  </si>
  <si>
    <r>
      <rPr>
        <rFont val="&quot;Helvetica Neue&quot;"/>
        <color rgb="FF1155CC"/>
        <sz val="8.0"/>
        <u/>
      </rPr>
      <t>ibrahimjumu003@gmail.com</t>
    </r>
  </si>
  <si>
    <t>Dieng</t>
  </si>
  <si>
    <t>Ousmane diounnou</t>
  </si>
  <si>
    <r>
      <rPr>
        <rFont val="&quot;Helvetica Neue&quot;"/>
        <color rgb="FF1155CC"/>
        <sz val="8.0"/>
        <u/>
      </rPr>
      <t>ousmanediounnoudieng@gmail.com</t>
    </r>
  </si>
  <si>
    <t>622 93 85 02</t>
  </si>
  <si>
    <t>Margo</t>
  </si>
  <si>
    <t>Thompson</t>
  </si>
  <si>
    <r>
      <rPr>
        <rFont val="&quot;Helvetica Neue&quot;"/>
        <color rgb="FF1155CC"/>
        <sz val="8.0"/>
        <u/>
      </rPr>
      <t>Completecarerealestate@gmail.com</t>
    </r>
  </si>
  <si>
    <t>647-323-9477</t>
  </si>
  <si>
    <t>Dieuveil</t>
  </si>
  <si>
    <t>Younes</t>
  </si>
  <si>
    <t>@icloud.com</t>
  </si>
  <si>
    <t>Younesatsoutsoula@icloud.</t>
  </si>
  <si>
    <t>Yakhoub</t>
  </si>
  <si>
    <t>Youssouf Abakar</t>
  </si>
  <si>
    <r>
      <rPr>
        <rFont val="&quot;Helvetica Neue&quot;"/>
        <color rgb="FF1155CC"/>
        <sz val="8.0"/>
        <u/>
      </rPr>
      <t>bababenyoussouf070@gmail.com</t>
    </r>
  </si>
  <si>
    <t>Christophe</t>
  </si>
  <si>
    <r>
      <rPr>
        <rFont val="&quot;Helvetica Neue&quot;"/>
        <color rgb="FF1155CC"/>
        <sz val="8.0"/>
        <u/>
      </rPr>
      <t>christophegomis71@gmail.com</t>
    </r>
  </si>
  <si>
    <t>Lukamba masebu</t>
  </si>
  <si>
    <t>Martin</t>
  </si>
  <si>
    <r>
      <rPr>
        <rFont val="&quot;Helvetica Neue&quot;"/>
        <color rgb="FF1155CC"/>
        <sz val="8.0"/>
        <u/>
      </rPr>
      <t>lukambamartin08@gmail.com</t>
    </r>
  </si>
  <si>
    <t>SEGBEAYA</t>
  </si>
  <si>
    <t>kossivi sylvestre</t>
  </si>
  <si>
    <r>
      <rPr>
        <rFont val="&quot;Helvetica Neue&quot;"/>
        <color rgb="FF1155CC"/>
        <sz val="8.0"/>
        <u/>
      </rPr>
      <t>grifondoresylvestre@gmail.com</t>
    </r>
  </si>
  <si>
    <t>Keba Bacary</t>
  </si>
  <si>
    <t>DIATTA</t>
  </si>
  <si>
    <r>
      <rPr>
        <rFont val="&quot;Helvetica Neue&quot;"/>
        <color rgb="FF1155CC"/>
        <sz val="8.0"/>
        <u/>
      </rPr>
      <t>kebabacary@gmail.com</t>
    </r>
  </si>
  <si>
    <t>Bienfaisant</t>
  </si>
  <si>
    <t>Nithiyapiraveena</t>
  </si>
  <si>
    <t>Suntha</t>
  </si>
  <si>
    <r>
      <rPr>
        <rFont val="&quot;Helvetica Neue&quot;"/>
        <color rgb="FF1155CC"/>
        <sz val="8.0"/>
        <u/>
      </rPr>
      <t>nithiya.suntharalingam@gmail.com</t>
    </r>
  </si>
  <si>
    <t>(416) 706-9889</t>
  </si>
  <si>
    <t>Juanito</t>
  </si>
  <si>
    <t>Multidor</t>
  </si>
  <si>
    <r>
      <rPr>
        <rFont val="&quot;Helvetica Neue&quot;"/>
        <color rgb="FF1155CC"/>
        <sz val="8.0"/>
        <u/>
      </rPr>
      <t>miltidorjuanito@gmail.com</t>
    </r>
  </si>
  <si>
    <t>Princilia marcibelle</t>
  </si>
  <si>
    <t>Ndongo Biala</t>
  </si>
  <si>
    <r>
      <rPr>
        <rFont val="&quot;Helvetica Neue&quot;"/>
        <color rgb="FF1155CC"/>
        <sz val="8.0"/>
        <u/>
      </rPr>
      <t>princilia.ndongo@gmail.com</t>
    </r>
  </si>
  <si>
    <t>Seynabou</t>
  </si>
  <si>
    <r>
      <rPr>
        <rFont val="&quot;Helvetica Neue&quot;"/>
        <color rgb="FF1155CC"/>
        <sz val="8.0"/>
        <u/>
      </rPr>
      <t>seynaboufaye403@gmail.com</t>
    </r>
  </si>
  <si>
    <t>Masseye</t>
  </si>
  <si>
    <t>Seye</t>
  </si>
  <si>
    <r>
      <rPr>
        <rFont val="&quot;Helvetica Neue&quot;"/>
        <color rgb="FF1155CC"/>
        <sz val="8.0"/>
        <u/>
      </rPr>
      <t>massemorty.78@gmail.com</t>
    </r>
  </si>
  <si>
    <t>Nirena</t>
  </si>
  <si>
    <t>Tomlinson</t>
  </si>
  <si>
    <r>
      <rPr>
        <rFont val="&quot;Helvetica Neue&quot;"/>
        <color rgb="FF1155CC"/>
        <sz val="8.0"/>
        <u/>
      </rPr>
      <t>tomlinsongwendolyn496@gmail.com</t>
    </r>
  </si>
  <si>
    <t>1876424-7569</t>
  </si>
  <si>
    <t>ThГ©rine</t>
  </si>
  <si>
    <t>Haoua Idriss</t>
  </si>
  <si>
    <t>Ba</t>
  </si>
  <si>
    <t>Oumou hawa</t>
  </si>
  <si>
    <r>
      <rPr>
        <rFont val="&quot;Helvetica Neue&quot;"/>
        <color rgb="FF1155CC"/>
        <sz val="8.0"/>
        <u/>
      </rPr>
      <t>baoumouhawa856@icloud.com</t>
    </r>
  </si>
  <si>
    <t>Kimbu</t>
  </si>
  <si>
    <t>ADELIN</t>
  </si>
  <si>
    <r>
      <rPr>
        <rFont val="&quot;Helvetica Neue&quot;"/>
        <color rgb="FF1155CC"/>
        <sz val="8.0"/>
        <u/>
      </rPr>
      <t>adelinkimbu@icloud.com</t>
    </r>
  </si>
  <si>
    <t>Youla</t>
  </si>
  <si>
    <r>
      <rPr>
        <rFont val="&quot;Helvetica Neue&quot;"/>
        <color rgb="FF1155CC"/>
        <sz val="8.0"/>
        <u/>
      </rPr>
      <t>youlamohamed61@gmail.com</t>
    </r>
  </si>
  <si>
    <t>Bayeserigne</t>
  </si>
  <si>
    <t>Thiaw</t>
  </si>
  <si>
    <r>
      <rPr>
        <rFont val="&quot;Helvetica Neue&quot;"/>
        <color rgb="FF1155CC"/>
        <sz val="8.0"/>
        <u/>
      </rPr>
      <t>bayeserignethiaw792@gmail.com</t>
    </r>
  </si>
  <si>
    <t>ШЁШ§Щ‡</t>
  </si>
  <si>
    <t>Ш§Щ„ЩЃШ§Ш№Щ…Ш±</t>
  </si>
  <si>
    <r>
      <rPr>
        <rFont val="&quot;Helvetica Neue&quot;"/>
        <color rgb="FF1155CC"/>
        <sz val="8.0"/>
        <u/>
      </rPr>
      <t>baha68840@gmail.com</t>
    </r>
  </si>
  <si>
    <t>Hamid</t>
  </si>
  <si>
    <t>Ahmad</t>
  </si>
  <si>
    <r>
      <rPr>
        <rFont val="&quot;Helvetica Neue&quot;"/>
        <color rgb="FF1155CC"/>
        <sz val="8.0"/>
        <u/>
      </rPr>
      <t>wwwa.sulkingsulking@gmail.com</t>
    </r>
  </si>
  <si>
    <t>Louis</t>
  </si>
  <si>
    <t>Danfa</t>
  </si>
  <si>
    <r>
      <rPr>
        <rFont val="&quot;Helvetica Neue&quot;"/>
        <color rgb="FF1155CC"/>
        <sz val="8.0"/>
        <u/>
      </rPr>
      <t>louisruidanfa@gmail.com</t>
    </r>
  </si>
  <si>
    <t>Razakou</t>
  </si>
  <si>
    <t>Soule</t>
  </si>
  <si>
    <t>Nettoyage</t>
  </si>
  <si>
    <t>Abe</t>
  </si>
  <si>
    <t>Boni romaric</t>
  </si>
  <si>
    <t>Sory</t>
  </si>
  <si>
    <r>
      <rPr>
        <rFont val="&quot;Helvetica Neue&quot;"/>
        <color rgb="FF1155CC"/>
        <sz val="8.0"/>
        <u/>
      </rPr>
      <t>diallosory281@gmail.com</t>
    </r>
  </si>
  <si>
    <t>0022366085848ou 70817611</t>
  </si>
  <si>
    <t>Dianko</t>
  </si>
  <si>
    <r>
      <rPr>
        <rFont val="&quot;Helvetica Neue&quot;"/>
        <color rgb="FF1155CC"/>
        <sz val="8.0"/>
        <u/>
      </rPr>
      <t>Mdianko35@gmail.com</t>
    </r>
  </si>
  <si>
    <t>Angela</t>
  </si>
  <si>
    <t>March</t>
  </si>
  <si>
    <r>
      <rPr>
        <rFont val="&quot;Helvetica Neue&quot;"/>
        <color rgb="FF1155CC"/>
        <sz val="8.0"/>
        <u/>
      </rPr>
      <t>Amarch229@gmail.com</t>
    </r>
  </si>
  <si>
    <t>Gnoati</t>
  </si>
  <si>
    <t>Bagbiaga</t>
  </si>
  <si>
    <r>
      <rPr>
        <rFont val="&quot;Helvetica Neue&quot;"/>
        <color rgb="FF1155CC"/>
        <sz val="8.0"/>
        <u/>
      </rPr>
      <t>taofiqbagbiaga@gmail.com</t>
    </r>
  </si>
  <si>
    <t>Moses</t>
  </si>
  <si>
    <t>Tokpah</t>
  </si>
  <si>
    <r>
      <rPr>
        <rFont val="&quot;Helvetica Neue&quot;"/>
        <color rgb="FF1155CC"/>
        <sz val="8.0"/>
        <u/>
      </rPr>
      <t>tokpahmoses427@gmail.com</t>
    </r>
  </si>
  <si>
    <t>Ilmadine</t>
  </si>
  <si>
    <t>Abdelkerim</t>
  </si>
  <si>
    <r>
      <rPr>
        <rFont val="&quot;Helvetica Neue&quot;"/>
        <color rgb="FF1155CC"/>
        <sz val="8.0"/>
        <u/>
      </rPr>
      <t>Ilimabdel00@gmail.com</t>
    </r>
  </si>
  <si>
    <t>Abdoulie</t>
  </si>
  <si>
    <t>Touray</t>
  </si>
  <si>
    <r>
      <rPr>
        <rFont val="&quot;Helvetica Neue&quot;"/>
        <color rgb="FF1155CC"/>
        <sz val="8.0"/>
        <u/>
      </rPr>
      <t>abdouliet731@gmail.com</t>
    </r>
  </si>
  <si>
    <t>Nanou</t>
  </si>
  <si>
    <t>Emma Sodila</t>
  </si>
  <si>
    <r>
      <rPr>
        <rFont val="&quot;Helvetica Neue&quot;"/>
        <color rgb="FF1155CC"/>
        <sz val="8.0"/>
        <u/>
      </rPr>
      <t>nanoucheemma@gmail.com</t>
    </r>
  </si>
  <si>
    <t>Amelia</t>
  </si>
  <si>
    <t>DianГ©</t>
  </si>
  <si>
    <r>
      <rPr>
        <rFont val="&quot;Helvetica Neue&quot;"/>
        <color rgb="FF1155CC"/>
        <sz val="8.0"/>
        <u/>
      </rPr>
      <t>ameliadiane830@gmail.com</t>
    </r>
  </si>
  <si>
    <t>Fatima</t>
  </si>
  <si>
    <r>
      <rPr>
        <rFont val="&quot;Helvetica Neue&quot;"/>
        <color rgb="FF1155CC"/>
        <sz val="8.0"/>
        <u/>
      </rPr>
      <t>fkfatima008@gmail.com</t>
    </r>
  </si>
  <si>
    <t>Jagdeep</t>
  </si>
  <si>
    <t>Singh</t>
  </si>
  <si>
    <r>
      <rPr>
        <rFont val="&quot;Helvetica Neue&quot;"/>
        <color rgb="FF1155CC"/>
        <sz val="8.0"/>
        <u/>
      </rPr>
      <t>singhjagdeep2004@gmail.com</t>
    </r>
  </si>
  <si>
    <t>647 937 5733</t>
  </si>
  <si>
    <t>Fuad</t>
  </si>
  <si>
    <t>Jafrani</t>
  </si>
  <si>
    <r>
      <rPr>
        <rFont val="&quot;Helvetica Neue&quot;"/>
        <color rgb="FF1155CC"/>
        <sz val="8.0"/>
        <u/>
      </rPr>
      <t>fuadjafrani@gmail.com</t>
    </r>
  </si>
  <si>
    <t>(416) 820-3433</t>
  </si>
  <si>
    <t>RAHANTAMALALA</t>
  </si>
  <si>
    <t>Nomenjanahary Laurence</t>
  </si>
  <si>
    <r>
      <rPr>
        <rFont val="&quot;Helvetica Neue&quot;"/>
        <color rgb="FF1155CC"/>
        <sz val="8.0"/>
        <u/>
      </rPr>
      <t>laurencenomena24@gmail.com</t>
    </r>
  </si>
  <si>
    <t>Mamadou m</t>
  </si>
  <si>
    <t>Jallow</t>
  </si>
  <si>
    <r>
      <rPr>
        <rFont val="&quot;Helvetica Neue&quot;"/>
        <color rgb="FF1155CC"/>
        <sz val="8.0"/>
        <u/>
      </rPr>
      <t>jallowmamadoum9@gmail.com</t>
    </r>
  </si>
  <si>
    <t>Abubakarr</t>
  </si>
  <si>
    <t>Conteh</t>
  </si>
  <si>
    <r>
      <rPr>
        <rFont val="&quot;Helvetica Neue&quot;"/>
        <color rgb="FF1155CC"/>
        <sz val="8.0"/>
        <u/>
      </rPr>
      <t>Maskboy197@gmail.com</t>
    </r>
  </si>
  <si>
    <t>Awa o</t>
  </si>
  <si>
    <r>
      <rPr>
        <rFont val="&quot;Helvetica Neue&quot;"/>
        <color rgb="FF1155CC"/>
        <sz val="8.0"/>
        <u/>
      </rPr>
      <t>Aswinbah4@gmail.com</t>
    </r>
  </si>
  <si>
    <t>Mame diГ©gane</t>
  </si>
  <si>
    <r>
      <rPr>
        <rFont val="&quot;Helvetica Neue&quot;"/>
        <color rgb="FF1155CC"/>
        <sz val="8.0"/>
        <u/>
      </rPr>
      <t>korasy744@gmail.com</t>
    </r>
  </si>
  <si>
    <t>RAZAFIARIVONY</t>
  </si>
  <si>
    <t>Maminirina sarah</t>
  </si>
  <si>
    <t>razafiarivonymaminirinasarah@gmail.</t>
  </si>
  <si>
    <t>Mouhamed</t>
  </si>
  <si>
    <r>
      <rPr>
        <rFont val="&quot;Helvetica Neue&quot;"/>
        <color rgb="FF1155CC"/>
        <sz val="8.0"/>
        <u/>
      </rPr>
      <t>mdiallo237@gamil.com</t>
    </r>
  </si>
  <si>
    <t>Alvin</t>
  </si>
  <si>
    <t>Weh</t>
  </si>
  <si>
    <r>
      <rPr>
        <rFont val="&quot;Helvetica Neue&quot;"/>
        <color rgb="FF1155CC"/>
        <sz val="8.0"/>
        <u/>
      </rPr>
      <t>wehalvin1986@gmail.com</t>
    </r>
  </si>
  <si>
    <t>Babacar</t>
  </si>
  <si>
    <t>Sarr</t>
  </si>
  <si>
    <r>
      <rPr>
        <rFont val="&quot;Helvetica Neue&quot;"/>
        <color rgb="FF1155CC"/>
        <sz val="8.0"/>
        <u/>
      </rPr>
      <t>Sarr69033@gmail.com</t>
    </r>
  </si>
  <si>
    <t>Dawda</t>
  </si>
  <si>
    <r>
      <rPr>
        <rFont val="&quot;Helvetica Neue&quot;"/>
        <color rgb="FF1155CC"/>
        <sz val="8.0"/>
        <u/>
      </rPr>
      <t>barrydawda515@gmail.com</t>
    </r>
  </si>
  <si>
    <t>Yakhouba</t>
  </si>
  <si>
    <t>Diagouraga</t>
  </si>
  <si>
    <t>Г‰lectricitГ©</t>
  </si>
  <si>
    <t>Grace kobo</t>
  </si>
  <si>
    <t>Matamba</t>
  </si>
  <si>
    <r>
      <rPr>
        <rFont val="&quot;Helvetica Neue&quot;"/>
        <color rgb="FF1155CC"/>
        <sz val="8.0"/>
        <u/>
      </rPr>
      <t>Gracematamba234@gmail.com</t>
    </r>
  </si>
  <si>
    <t>Luc. ArsГЁne</t>
  </si>
  <si>
    <t>SITA. Dienguila</t>
  </si>
  <si>
    <r>
      <rPr>
        <rFont val="&quot;Helvetica Neue&quot;"/>
        <color rgb="FF1155CC"/>
        <sz val="8.0"/>
        <u/>
      </rPr>
      <t>generationecologie15@gmail.com</t>
    </r>
  </si>
  <si>
    <t>Aliou badara</t>
  </si>
  <si>
    <t>Goudiaby</t>
  </si>
  <si>
    <r>
      <rPr>
        <rFont val="&quot;Helvetica Neue&quot;"/>
        <color rgb="FF1155CC"/>
        <sz val="8.0"/>
        <u/>
      </rPr>
      <t>yacebadara123@gmail.com</t>
    </r>
  </si>
  <si>
    <t>00220 5445209</t>
  </si>
  <si>
    <t>Absa</t>
  </si>
  <si>
    <r>
      <rPr>
        <rFont val="&quot;Helvetica Neue&quot;"/>
        <color rgb="FF1155CC"/>
        <sz val="8.0"/>
        <u/>
      </rPr>
      <t>Absatoure8mars@gmail.com</t>
    </r>
  </si>
  <si>
    <r>
      <rPr>
        <rFont val="&quot;Helvetica Neue&quot;"/>
        <color rgb="FF1155CC"/>
        <sz val="8.0"/>
        <u/>
      </rPr>
      <t>semdoussdiallo@gmail.com</t>
    </r>
  </si>
  <si>
    <t>77 690 00 41</t>
  </si>
  <si>
    <t>Julie</t>
  </si>
  <si>
    <r>
      <rPr>
        <rFont val="&quot;Helvetica Neue&quot;"/>
        <color rgb="FF1155CC"/>
        <sz val="8.0"/>
        <u/>
      </rPr>
      <t>themarticorenagroup@gmail.com</t>
    </r>
  </si>
  <si>
    <t>416-994-9946</t>
  </si>
  <si>
    <t>Jeton</t>
  </si>
  <si>
    <t>Skeja</t>
  </si>
  <si>
    <r>
      <rPr>
        <rFont val="&quot;Helvetica Neue&quot;"/>
        <color rgb="FF1155CC"/>
        <sz val="8.0"/>
        <u/>
      </rPr>
      <t>toniskeja577@mail.com</t>
    </r>
  </si>
  <si>
    <t>Erdenebaatar</t>
  </si>
  <si>
    <t>Oktyabri</t>
  </si>
  <si>
    <r>
      <rPr>
        <rFont val="&quot;Helvetica Neue&quot;"/>
        <color rgb="FF1155CC"/>
        <sz val="8.0"/>
        <u/>
      </rPr>
      <t>Oktayabri2017@gmail.com</t>
    </r>
  </si>
  <si>
    <t>Quainoo</t>
  </si>
  <si>
    <r>
      <rPr>
        <rFont val="&quot;Helvetica Neue&quot;"/>
        <color rgb="FF1155CC"/>
        <sz val="8.0"/>
        <u/>
      </rPr>
      <t>johnatokofi2017@gmail.com</t>
    </r>
  </si>
  <si>
    <t>Polycarpe</t>
  </si>
  <si>
    <t>Nimubona</t>
  </si>
  <si>
    <r>
      <rPr>
        <rFont val="&quot;Helvetica Neue&quot;"/>
        <color rgb="FF1155CC"/>
        <sz val="8.0"/>
        <u/>
      </rPr>
      <t>polycarpenimubona@gmail.com</t>
    </r>
  </si>
  <si>
    <t>Zara</t>
  </si>
  <si>
    <t>abba</t>
  </si>
  <si>
    <r>
      <rPr>
        <rFont val="&quot;Helvetica Neue&quot;"/>
        <color rgb="FF1155CC"/>
        <sz val="8.0"/>
        <u/>
      </rPr>
      <t>abbazaraasto@gmail.com</t>
    </r>
  </si>
  <si>
    <t>Sangare</t>
  </si>
  <si>
    <t>Isiaka</t>
  </si>
  <si>
    <r>
      <rPr>
        <rFont val="&quot;Helvetica Neue&quot;"/>
        <color rgb="FF1155CC"/>
        <sz val="8.0"/>
        <u/>
      </rPr>
      <t>isiakasangare@gmail.com</t>
    </r>
  </si>
  <si>
    <t>Jacques</t>
  </si>
  <si>
    <t>MOULOU</t>
  </si>
  <si>
    <t>Togo</t>
  </si>
  <si>
    <r>
      <rPr>
        <rFont val="&quot;Helvetica Neue&quot;"/>
        <color rgb="FF1155CC"/>
        <sz val="8.0"/>
        <u/>
      </rPr>
      <t>mohamedbarrymohamed888@gmail.com</t>
    </r>
  </si>
  <si>
    <t>Mayo</t>
  </si>
  <si>
    <t>Moussa ramadane</t>
  </si>
  <si>
    <r>
      <rPr>
        <rFont val="&quot;Helvetica Neue&quot;"/>
        <color rgb="FF1155CC"/>
        <sz val="8.0"/>
        <u/>
      </rPr>
      <t>moussaramadanemayo@gmail.com</t>
    </r>
  </si>
  <si>
    <t>Younoussa</t>
  </si>
  <si>
    <r>
      <rPr>
        <rFont val="&quot;Helvetica Neue&quot;"/>
        <color rgb="FF1155CC"/>
        <sz val="8.0"/>
        <u/>
      </rPr>
      <t>younoussa693@gmail.com</t>
    </r>
  </si>
  <si>
    <t>Habib</t>
  </si>
  <si>
    <t>Djalo</t>
  </si>
  <si>
    <r>
      <rPr>
        <rFont val="&quot;Helvetica Neue&quot;"/>
        <color rgb="FF1155CC"/>
        <sz val="8.0"/>
        <u/>
      </rPr>
      <t>djalohabib527@gmail.com</t>
    </r>
  </si>
  <si>
    <t>Serigne Mbacke</t>
  </si>
  <si>
    <r>
      <rPr>
        <rFont val="&quot;Helvetica Neue&quot;"/>
        <color rgb="FF1155CC"/>
        <sz val="8.0"/>
        <u/>
      </rPr>
      <t>fallougueye555@gmail.com</t>
    </r>
  </si>
  <si>
    <t>Alpho oumar</t>
  </si>
  <si>
    <r>
      <rPr>
        <rFont val="&quot;Helvetica Neue&quot;"/>
        <color rgb="FF1155CC"/>
        <sz val="8.0"/>
        <u/>
      </rPr>
      <t>alphooumardiallo14@gmail.com</t>
    </r>
  </si>
  <si>
    <t>Assa</t>
  </si>
  <si>
    <t>Endele</t>
  </si>
  <si>
    <r>
      <rPr>
        <rFont val="&quot;Helvetica Neue&quot;"/>
        <color rgb="FF1155CC"/>
        <sz val="8.0"/>
        <u/>
      </rPr>
      <t>nourllaassa01@ocloud.com</t>
    </r>
  </si>
  <si>
    <t>Emeraude</t>
  </si>
  <si>
    <t>BENI KISAMBA</t>
  </si>
  <si>
    <r>
      <rPr>
        <rFont val="&quot;Helvetica Neue&quot;"/>
        <color rgb="FF1155CC"/>
        <sz val="8.0"/>
        <u/>
      </rPr>
      <t>benikisambae@gmail.com</t>
    </r>
  </si>
  <si>
    <t>Alphe</t>
  </si>
  <si>
    <t>Michel</t>
  </si>
  <si>
    <r>
      <rPr>
        <rFont val="&quot;Helvetica Neue&quot;"/>
        <color rgb="FF1155CC"/>
        <sz val="8.0"/>
        <u/>
      </rPr>
      <t>micheallamah67@gmail.com</t>
    </r>
  </si>
  <si>
    <t>armeth</t>
  </si>
  <si>
    <t>Kambi</t>
  </si>
  <si>
    <r>
      <rPr>
        <rFont val="&quot;Helvetica Neue&quot;"/>
        <color rgb="FF1155CC"/>
        <sz val="8.0"/>
        <u/>
      </rPr>
      <t>gr1cieux.com@icloud.com</t>
    </r>
  </si>
  <si>
    <t>Sankoun</t>
  </si>
  <si>
    <t>Fofana</t>
  </si>
  <si>
    <r>
      <rPr>
        <rFont val="&quot;Helvetica Neue&quot;"/>
        <color rgb="FF1155CC"/>
        <sz val="8.0"/>
        <u/>
      </rPr>
      <t>sankfof8@gmail.com</t>
    </r>
  </si>
  <si>
    <t>00220 781 58 84</t>
  </si>
  <si>
    <t>Abdourahmane</t>
  </si>
  <si>
    <t>Adra12</t>
  </si>
  <si>
    <t>george</t>
  </si>
  <si>
    <t>lusale</t>
  </si>
  <si>
    <t>malawi</t>
  </si>
  <si>
    <r>
      <rPr>
        <rFont val="&quot;Helvetica Neue&quot;"/>
        <color rgb="FF1155CC"/>
        <sz val="8.0"/>
        <u/>
      </rPr>
      <t>CamaraAdama868@gmail.com</t>
    </r>
  </si>
  <si>
    <t>Hamed Zaid</t>
  </si>
  <si>
    <t>BOUYOMEKA MIKOLO</t>
  </si>
  <si>
    <t>Plomberie</t>
  </si>
  <si>
    <t>Safietou</t>
  </si>
  <si>
    <r>
      <rPr>
        <rFont val="&quot;Helvetica Neue&quot;"/>
        <color rgb="FF1155CC"/>
        <sz val="8.0"/>
        <u/>
      </rPr>
      <t>diedhousafietou@gmail.com</t>
    </r>
  </si>
  <si>
    <t>(221) 786-3266</t>
  </si>
  <si>
    <t>Test</t>
  </si>
  <si>
    <r>
      <rPr>
        <rFont val="&quot;Helvetica Neue&quot;"/>
        <color rgb="FF1155CC"/>
        <sz val="8.0"/>
        <u/>
      </rPr>
      <t>cnoronha+1@ryan-design.com</t>
    </r>
  </si>
  <si>
    <t>416 951 9213</t>
  </si>
  <si>
    <t>Rana</t>
  </si>
  <si>
    <t>Al-Sayegh</t>
  </si>
  <si>
    <r>
      <rPr>
        <rFont val="&quot;Helvetica Neue&quot;"/>
        <color rgb="FF1155CC"/>
        <sz val="8.0"/>
        <u/>
      </rPr>
      <t>rana@condoroyalty.com</t>
    </r>
  </si>
  <si>
    <t>Maria</t>
  </si>
  <si>
    <t>Seepersaud</t>
  </si>
  <si>
    <r>
      <rPr>
        <rFont val="&quot;Helvetica Neue&quot;"/>
        <color rgb="FF1155CC"/>
        <sz val="8.0"/>
        <u/>
      </rPr>
      <t>faliciaseepersaud@gmail.com</t>
    </r>
  </si>
  <si>
    <t>(647) 231-4704</t>
  </si>
  <si>
    <t>Nick</t>
  </si>
  <si>
    <t>West</t>
  </si>
  <si>
    <r>
      <rPr>
        <rFont val="&quot;Helvetica Neue&quot;"/>
        <color rgb="FF1155CC"/>
        <sz val="8.0"/>
        <u/>
      </rPr>
      <t>nickw@royallepage.ca</t>
    </r>
  </si>
  <si>
    <t>Davinder</t>
  </si>
  <si>
    <t>kaur</t>
  </si>
  <si>
    <r>
      <rPr>
        <rFont val="&quot;Helvetica Neue&quot;"/>
        <color rgb="FF1155CC"/>
        <sz val="8.0"/>
        <u/>
      </rPr>
      <t>dkhomes70@gmail.com</t>
    </r>
  </si>
  <si>
    <t>416 500 1700</t>
  </si>
  <si>
    <t>Brandon</t>
  </si>
  <si>
    <t>McArthur</t>
  </si>
  <si>
    <r>
      <rPr>
        <rFont val="&quot;Helvetica Neue&quot;"/>
        <color rgb="FF1155CC"/>
        <sz val="8.0"/>
        <u/>
      </rPr>
      <t>brandonmcarthur@royallepage.ca</t>
    </r>
  </si>
  <si>
    <t>sinnathamby</t>
  </si>
  <si>
    <r>
      <rPr>
        <rFont val="&quot;Helvetica Neue&quot;"/>
        <color rgb="FF1155CC"/>
        <sz val="8.0"/>
        <u/>
      </rPr>
      <t>nila.rajendram@gmail.com</t>
    </r>
  </si>
  <si>
    <t>Kaushik</t>
  </si>
  <si>
    <r>
      <rPr>
        <rFont val="&quot;Helvetica Neue&quot;"/>
        <color rgb="FF1155CC"/>
        <sz val="8.0"/>
        <u/>
      </rPr>
      <t>kspatelrealtor1@gmail.com</t>
    </r>
  </si>
  <si>
    <t>647 574 1578</t>
  </si>
  <si>
    <t>Hashim</t>
  </si>
  <si>
    <t>Ashraf</t>
  </si>
  <si>
    <r>
      <rPr>
        <rFont val="&quot;Helvetica Neue&quot;"/>
        <color rgb="FF1155CC"/>
        <sz val="8.0"/>
        <u/>
      </rPr>
      <t>Hashestates@gmail.com</t>
    </r>
  </si>
  <si>
    <t>Mitzie</t>
  </si>
  <si>
    <t>Hyre</t>
  </si>
  <si>
    <r>
      <rPr>
        <rFont val="&quot;Helvetica Neue&quot;"/>
        <color rgb="FF1155CC"/>
        <sz val="8.0"/>
        <u/>
      </rPr>
      <t>mitziehyre@gmail.com</t>
    </r>
  </si>
  <si>
    <t>Ebad</t>
  </si>
  <si>
    <t>Javed</t>
  </si>
  <si>
    <r>
      <rPr>
        <rFont val="&quot;Helvetica Neue&quot;"/>
        <color rgb="FF1155CC"/>
        <sz val="8.0"/>
        <u/>
      </rPr>
      <t>Ebadjav@gmail.com</t>
    </r>
  </si>
  <si>
    <t>647-985-6104</t>
  </si>
  <si>
    <t>Guneet</t>
  </si>
  <si>
    <t>Madaan</t>
  </si>
  <si>
    <r>
      <rPr>
        <rFont val="&quot;Helvetica Neue&quot;"/>
        <color rgb="FF1155CC"/>
        <sz val="8.0"/>
        <u/>
      </rPr>
      <t>guneetrealtor@gmail.com</t>
    </r>
  </si>
  <si>
    <t>Manirul</t>
  </si>
  <si>
    <t>Wasik</t>
  </si>
  <si>
    <r>
      <rPr>
        <rFont val="&quot;Helvetica Neue&quot;"/>
        <color rgb="FF1155CC"/>
        <sz val="8.0"/>
        <u/>
      </rPr>
      <t>Manirul9@yahoo.ca</t>
    </r>
  </si>
  <si>
    <t>Jiya</t>
  </si>
  <si>
    <t>Gupta</t>
  </si>
  <si>
    <r>
      <rPr>
        <rFont val="&quot;Helvetica Neue&quot;"/>
        <color rgb="FF1155CC"/>
        <sz val="8.0"/>
        <u/>
      </rPr>
      <t>Jiya.gupta@rbc.com</t>
    </r>
  </si>
  <si>
    <t>Karm</t>
  </si>
  <si>
    <r>
      <rPr>
        <rFont val="&quot;Helvetica Neue&quot;"/>
        <color rgb="FF1155CC"/>
        <sz val="8.0"/>
        <u/>
      </rPr>
      <t>karm.realtor@gmail.com</t>
    </r>
  </si>
  <si>
    <t>(416)856-5276</t>
  </si>
  <si>
    <t>M</t>
  </si>
  <si>
    <t>V</t>
  </si>
  <si>
    <r>
      <rPr>
        <rFont val="&quot;Helvetica Neue&quot;"/>
        <color rgb="FF1155CC"/>
        <sz val="8.0"/>
        <u/>
      </rPr>
      <t>meri_444353@yahoo.com</t>
    </r>
  </si>
  <si>
    <t>Allison</t>
  </si>
  <si>
    <t>Boggus</t>
  </si>
  <si>
    <r>
      <rPr>
        <rFont val="&quot;Helvetica Neue&quot;"/>
        <color rgb="FF1155CC"/>
        <sz val="8.0"/>
        <u/>
      </rPr>
      <t>aboggus45@gmail.com</t>
    </r>
  </si>
  <si>
    <t>Tkheya</t>
  </si>
  <si>
    <t>Burey</t>
  </si>
  <si>
    <r>
      <rPr>
        <rFont val="&quot;Helvetica Neue&quot;"/>
        <color rgb="FF1155CC"/>
        <sz val="8.0"/>
        <u/>
      </rPr>
      <t>tikiburey@gmail.com</t>
    </r>
  </si>
  <si>
    <t>Nat</t>
  </si>
  <si>
    <t>Narbut</t>
  </si>
  <si>
    <r>
      <rPr>
        <rFont val="&quot;Helvetica Neue&quot;"/>
        <color rgb="FF1155CC"/>
        <sz val="8.0"/>
        <u/>
      </rPr>
      <t>Nat.narbut@gmail.com</t>
    </r>
  </si>
  <si>
    <t>Andrea</t>
  </si>
  <si>
    <t>Dixon</t>
  </si>
  <si>
    <r>
      <rPr>
        <rFont val="&quot;Helvetica Neue&quot;"/>
        <color rgb="FF1155CC"/>
        <sz val="8.0"/>
        <u/>
      </rPr>
      <t>andrea.clc.dixon@gmail.com</t>
    </r>
  </si>
  <si>
    <t>(647) 575-2644</t>
  </si>
  <si>
    <t>Shashi</t>
  </si>
  <si>
    <t>Krishan</t>
  </si>
  <si>
    <r>
      <rPr>
        <rFont val="&quot;Helvetica Neue&quot;"/>
        <color rgb="FF1155CC"/>
        <sz val="8.0"/>
        <u/>
      </rPr>
      <t>shashi.krishan@gmail.com</t>
    </r>
  </si>
  <si>
    <t>Elizabeth</t>
  </si>
  <si>
    <t>Harris</t>
  </si>
  <si>
    <r>
      <rPr>
        <rFont val="&quot;Helvetica Neue&quot;"/>
        <color rgb="FF1155CC"/>
        <sz val="8.0"/>
        <u/>
      </rPr>
      <t>elizabeth.h@hotmail.ca</t>
    </r>
  </si>
  <si>
    <t>Prince</t>
  </si>
  <si>
    <t>Chopra</t>
  </si>
  <si>
    <r>
      <rPr>
        <rFont val="&quot;Helvetica Neue&quot;"/>
        <color rgb="FF1155CC"/>
        <sz val="8.0"/>
        <u/>
      </rPr>
      <t>myrealtyadda@gmail.com</t>
    </r>
  </si>
  <si>
    <t>Bill</t>
  </si>
  <si>
    <t>Howe</t>
  </si>
  <si>
    <r>
      <rPr>
        <rFont val="&quot;Helvetica Neue&quot;"/>
        <color rgb="FF1155CC"/>
        <sz val="8.0"/>
        <u/>
      </rPr>
      <t>makarska1997@gmail.com</t>
    </r>
  </si>
  <si>
    <t>Sandeep</t>
  </si>
  <si>
    <t>Batra</t>
  </si>
  <si>
    <r>
      <rPr>
        <rFont val="&quot;Helvetica Neue&quot;"/>
        <color rgb="FF1155CC"/>
        <sz val="8.0"/>
        <u/>
      </rPr>
      <t>sbatra@live.ca</t>
    </r>
  </si>
  <si>
    <t>416-846-1017</t>
  </si>
  <si>
    <t>Jamil</t>
  </si>
  <si>
    <t>Qamar</t>
  </si>
  <si>
    <r>
      <rPr>
        <rFont val="&quot;Helvetica Neue&quot;"/>
        <color rgb="FF1155CC"/>
        <sz val="8.0"/>
        <u/>
      </rPr>
      <t>realtorjamilqamar@gmail.com</t>
    </r>
  </si>
  <si>
    <t>Chisholm</t>
  </si>
  <si>
    <r>
      <rPr>
        <rFont val="&quot;Helvetica Neue&quot;"/>
        <color rgb="FF1155CC"/>
        <sz val="8.0"/>
        <u/>
      </rPr>
      <t>Grace.Chisholm@remax.net</t>
    </r>
  </si>
  <si>
    <t>647 296 0551</t>
  </si>
  <si>
    <t>Aaron</t>
  </si>
  <si>
    <t>Saunders</t>
  </si>
  <si>
    <r>
      <rPr>
        <rFont val="&quot;Helvetica Neue&quot;"/>
        <color rgb="FF1155CC"/>
        <sz val="8.0"/>
        <u/>
      </rPr>
      <t>iamaaronsaunders@gmail.com</t>
    </r>
  </si>
  <si>
    <t>Hamouds</t>
  </si>
  <si>
    <r>
      <rPr>
        <rFont val="&quot;Helvetica Neue&quot;"/>
        <color rgb="FF1155CC"/>
        <sz val="8.0"/>
        <u/>
      </rPr>
      <t>ahamouda@hotmail.com</t>
    </r>
  </si>
  <si>
    <t>Sushil</t>
  </si>
  <si>
    <r>
      <rPr>
        <rFont val="&quot;Helvetica Neue&quot;"/>
        <color rgb="FF1155CC"/>
        <sz val="8.0"/>
        <u/>
      </rPr>
      <t>buywithsushil@gmail.com</t>
    </r>
  </si>
  <si>
    <t>Beth</t>
  </si>
  <si>
    <t>Bennett</t>
  </si>
  <si>
    <r>
      <rPr>
        <rFont val="&quot;Helvetica Neue&quot;"/>
        <color rgb="FF1155CC"/>
        <sz val="8.0"/>
        <u/>
      </rPr>
      <t>cheecks3@gmail.com</t>
    </r>
  </si>
  <si>
    <t>Sahar</t>
  </si>
  <si>
    <t>Rizvi</t>
  </si>
  <si>
    <r>
      <rPr>
        <rFont val="&quot;Helvetica Neue&quot;"/>
        <color rgb="FF1155CC"/>
        <sz val="8.0"/>
        <u/>
      </rPr>
      <t>Sahar.rizvi01@gmail.com</t>
    </r>
  </si>
  <si>
    <t>malik</t>
  </si>
  <si>
    <t>javaid</t>
  </si>
  <si>
    <r>
      <rPr>
        <rFont val="&quot;Helvetica Neue&quot;"/>
        <color rgb="FF1155CC"/>
        <sz val="8.0"/>
        <u/>
      </rPr>
      <t>wajahat.j29@gmail.com</t>
    </r>
  </si>
  <si>
    <t>Adnan</t>
  </si>
  <si>
    <t>Chowdhry</t>
  </si>
  <si>
    <r>
      <rPr>
        <rFont val="&quot;Helvetica Neue&quot;"/>
        <color rgb="FF1155CC"/>
        <sz val="8.0"/>
        <u/>
      </rPr>
      <t>anchowdhry@gmail.com</t>
    </r>
  </si>
  <si>
    <t>Korin</t>
  </si>
  <si>
    <t>Abdelsayed</t>
  </si>
  <si>
    <r>
      <rPr>
        <rFont val="&quot;Helvetica Neue&quot;"/>
        <color rgb="FF1155CC"/>
        <sz val="8.0"/>
        <u/>
      </rPr>
      <t>korin.abdelsayed@gmail.com</t>
    </r>
  </si>
  <si>
    <t>Stevo</t>
  </si>
  <si>
    <t>Zarvanjski</t>
  </si>
  <si>
    <r>
      <rPr>
        <rFont val="&quot;Helvetica Neue&quot;"/>
        <color rgb="FF1155CC"/>
        <sz val="8.0"/>
        <u/>
      </rPr>
      <t>agent@primenewcondos.com</t>
    </r>
  </si>
  <si>
    <t>Caitlin</t>
  </si>
  <si>
    <t>Francois</t>
  </si>
  <si>
    <r>
      <rPr>
        <rFont val="&quot;Helvetica Neue&quot;"/>
        <color rgb="FF1155CC"/>
        <sz val="8.0"/>
        <u/>
      </rPr>
      <t>mustangfanatic05@hotmail.com</t>
    </r>
  </si>
  <si>
    <t>Mustafa</t>
  </si>
  <si>
    <t>Kamal</t>
  </si>
  <si>
    <r>
      <rPr>
        <rFont val="&quot;Helvetica Neue&quot;"/>
        <color rgb="FF1155CC"/>
        <sz val="8.0"/>
        <u/>
      </rPr>
      <t>kamalmoe@hotmail.com</t>
    </r>
  </si>
  <si>
    <t>647 830 0382</t>
  </si>
  <si>
    <t>Olatunji</t>
  </si>
  <si>
    <t>Byass</t>
  </si>
  <si>
    <r>
      <rPr>
        <rFont val="&quot;Helvetica Neue&quot;"/>
        <color rgb="FF1155CC"/>
        <sz val="8.0"/>
        <u/>
      </rPr>
      <t>Olatunjibyass@gmail.com</t>
    </r>
  </si>
  <si>
    <t>Ishmael</t>
  </si>
  <si>
    <r>
      <rPr>
        <rFont val="&quot;Helvetica Neue&quot;"/>
        <color rgb="FF1155CC"/>
        <sz val="8.0"/>
        <u/>
      </rPr>
      <t>andreaishrealty@gmail.com</t>
    </r>
  </si>
  <si>
    <t>Samantha</t>
  </si>
  <si>
    <t>Rohinson</t>
  </si>
  <si>
    <r>
      <rPr>
        <rFont val="&quot;Helvetica Neue&quot;"/>
        <color rgb="FF1155CC"/>
        <sz val="8.0"/>
        <u/>
      </rPr>
      <t>rohanda91@gmail.com</t>
    </r>
  </si>
  <si>
    <t>Nigelee</t>
  </si>
  <si>
    <t>Burnett</t>
  </si>
  <si>
    <r>
      <rPr>
        <rFont val="&quot;Helvetica Neue&quot;"/>
        <color rgb="FF1155CC"/>
        <sz val="8.0"/>
        <u/>
      </rPr>
      <t>nigeleeburnett@live.ca</t>
    </r>
  </si>
  <si>
    <t>Celine</t>
  </si>
  <si>
    <t>Podur</t>
  </si>
  <si>
    <r>
      <rPr>
        <rFont val="&quot;Helvetica Neue&quot;"/>
        <color rgb="FF1155CC"/>
        <sz val="8.0"/>
        <u/>
      </rPr>
      <t>Celinepodur@hotmail.com</t>
    </r>
  </si>
  <si>
    <t>416 722 5501</t>
  </si>
  <si>
    <t>Farjana</t>
  </si>
  <si>
    <t>Jubilee</t>
  </si>
  <si>
    <r>
      <rPr>
        <rFont val="&quot;Helvetica Neue&quot;"/>
        <color rgb="FF1155CC"/>
        <sz val="8.0"/>
        <u/>
      </rPr>
      <t>nilufarjubilee.ca@gmail.com</t>
    </r>
  </si>
  <si>
    <t>Maliakkal</t>
  </si>
  <si>
    <r>
      <rPr>
        <rFont val="&quot;Helvetica Neue&quot;"/>
        <color rgb="FF1155CC"/>
        <sz val="8.0"/>
        <u/>
      </rPr>
      <t>christymaliakkal25@gmail.com</t>
    </r>
  </si>
  <si>
    <t>647-540-0464</t>
  </si>
  <si>
    <t>Ibiyemi</t>
  </si>
  <si>
    <t>Orhorhoro</t>
  </si>
  <si>
    <r>
      <rPr>
        <rFont val="&quot;Helvetica Neue&quot;"/>
        <color rgb="FF1155CC"/>
        <sz val="8.0"/>
        <u/>
      </rPr>
      <t>Orhorhoroi@gmail.com</t>
    </r>
  </si>
  <si>
    <t>289 783 8961</t>
  </si>
  <si>
    <t>Joy</t>
  </si>
  <si>
    <t>Smikle</t>
  </si>
  <si>
    <r>
      <rPr>
        <rFont val="&quot;Helvetica Neue&quot;"/>
        <color rgb="FF1155CC"/>
        <sz val="8.0"/>
        <u/>
      </rPr>
      <t>jsmickle07@hotmail.com</t>
    </r>
  </si>
  <si>
    <t>647 297 0277</t>
  </si>
  <si>
    <t>SATNAM</t>
  </si>
  <si>
    <t>KAREER</t>
  </si>
  <si>
    <r>
      <rPr>
        <rFont val="&quot;Helvetica Neue&quot;"/>
        <color rgb="FF1155CC"/>
        <sz val="8.0"/>
        <u/>
      </rPr>
      <t>satnamsinghkareer@yahoo.com</t>
    </r>
  </si>
  <si>
    <t>647 501 6154</t>
  </si>
  <si>
    <t>Missy</t>
  </si>
  <si>
    <t>K</t>
  </si>
  <si>
    <r>
      <rPr>
        <rFont val="&quot;Helvetica Neue&quot;"/>
        <color rgb="FF1155CC"/>
        <sz val="8.0"/>
        <u/>
      </rPr>
      <t>missk2163@gmail.com</t>
    </r>
  </si>
  <si>
    <t>Kajeev</t>
  </si>
  <si>
    <t>Gnanasegaram</t>
  </si>
  <si>
    <r>
      <rPr>
        <rFont val="&quot;Helvetica Neue&quot;"/>
        <color rgb="FF1155CC"/>
        <sz val="8.0"/>
        <u/>
      </rPr>
      <t>gkajeev@live.ca</t>
    </r>
  </si>
  <si>
    <t>Annisha</t>
  </si>
  <si>
    <t>Stewart</t>
  </si>
  <si>
    <r>
      <rPr>
        <rFont val="&quot;Helvetica Neue&quot;"/>
        <color rgb="FF1155CC"/>
        <sz val="8.0"/>
        <u/>
      </rPr>
      <t>annishastewt9@gmail.com</t>
    </r>
  </si>
  <si>
    <t>Thomas</t>
  </si>
  <si>
    <t>N</t>
  </si>
  <si>
    <r>
      <rPr>
        <rFont val="&quot;Helvetica Neue&quot;"/>
        <color rgb="FF1155CC"/>
        <sz val="8.0"/>
        <u/>
      </rPr>
      <t>nathan@sakmet.ca</t>
    </r>
  </si>
  <si>
    <t>Al</t>
  </si>
  <si>
    <t>Syed</t>
  </si>
  <si>
    <r>
      <rPr>
        <rFont val="&quot;Helvetica Neue&quot;"/>
        <color rgb="FF1155CC"/>
        <sz val="8.0"/>
        <u/>
      </rPr>
      <t>al@requity.ca</t>
    </r>
  </si>
  <si>
    <t>(647) 887-2549</t>
  </si>
  <si>
    <t>Shehla</t>
  </si>
  <si>
    <t>Sadiq</t>
  </si>
  <si>
    <r>
      <rPr>
        <rFont val="&quot;Helvetica Neue&quot;"/>
        <color rgb="FF1155CC"/>
        <sz val="8.0"/>
        <u/>
      </rPr>
      <t>doc_sadiq@yahoo.com</t>
    </r>
  </si>
  <si>
    <t>(416) 303-8523</t>
  </si>
  <si>
    <t>Mark</t>
  </si>
  <si>
    <t>Rao</t>
  </si>
  <si>
    <r>
      <rPr>
        <rFont val="&quot;Helvetica Neue&quot;"/>
        <color rgb="FF1155CC"/>
        <sz val="8.0"/>
        <u/>
      </rPr>
      <t>info@markrao.com</t>
    </r>
  </si>
  <si>
    <t>Janajan</t>
  </si>
  <si>
    <t>Jeyabalan</t>
  </si>
  <si>
    <r>
      <rPr>
        <rFont val="&quot;Helvetica Neue&quot;"/>
        <color rgb="FF1155CC"/>
        <sz val="8.0"/>
        <u/>
      </rPr>
      <t>janajan0129@gmail.com</t>
    </r>
  </si>
  <si>
    <t>Rahmat</t>
  </si>
  <si>
    <r>
      <rPr>
        <rFont val="&quot;Helvetica Neue&quot;"/>
        <color rgb="FF1155CC"/>
        <sz val="8.0"/>
        <u/>
      </rPr>
      <t>Khan.yourrealtor@gmail.com</t>
    </r>
  </si>
  <si>
    <t>416-825-4536</t>
  </si>
  <si>
    <t>Shantai</t>
  </si>
  <si>
    <t>Savory</t>
  </si>
  <si>
    <r>
      <rPr>
        <rFont val="&quot;Helvetica Neue&quot;"/>
        <color rgb="FF1155CC"/>
        <sz val="8.0"/>
        <u/>
      </rPr>
      <t>Taisavory@hotmail.com</t>
    </r>
  </si>
  <si>
    <t>Laurie</t>
  </si>
  <si>
    <t>Blonsk</t>
  </si>
  <si>
    <r>
      <rPr>
        <rFont val="&quot;Helvetica Neue&quot;"/>
        <color rgb="FF1155CC"/>
        <sz val="8.0"/>
        <u/>
      </rPr>
      <t>laurie77555@aol.com</t>
    </r>
  </si>
  <si>
    <t>pankil</t>
  </si>
  <si>
    <t>tailor</t>
  </si>
  <si>
    <r>
      <rPr>
        <rFont val="&quot;Helvetica Neue&quot;"/>
        <color rgb="FF1155CC"/>
        <sz val="8.0"/>
        <u/>
      </rPr>
      <t>pankiltailor19192@gmail.com</t>
    </r>
  </si>
  <si>
    <t>Atique</t>
  </si>
  <si>
    <r>
      <rPr>
        <rFont val="&quot;Helvetica Neue&quot;"/>
        <color rgb="FF1155CC"/>
        <sz val="8.0"/>
        <u/>
      </rPr>
      <t>atique_designer@yahoo.ca</t>
    </r>
  </si>
  <si>
    <t>1 647 923 2085</t>
  </si>
  <si>
    <t>Haider</t>
  </si>
  <si>
    <r>
      <rPr>
        <rFont val="&quot;Helvetica Neue&quot;"/>
        <color rgb="FF1155CC"/>
        <sz val="8.0"/>
        <u/>
      </rPr>
      <t>haider4107@gmail.com</t>
    </r>
  </si>
  <si>
    <t>Ajith</t>
  </si>
  <si>
    <t>Panichekunnel Gangadharan</t>
  </si>
  <si>
    <r>
      <rPr>
        <rFont val="&quot;Helvetica Neue&quot;"/>
        <color rgb="FF1155CC"/>
        <sz val="8.0"/>
        <u/>
      </rPr>
      <t>Ajithpg21@yahoo.com</t>
    </r>
  </si>
  <si>
    <t>li</t>
  </si>
  <si>
    <t>cox</t>
  </si>
  <si>
    <r>
      <rPr>
        <rFont val="&quot;Helvetica Neue&quot;"/>
        <color rgb="FF1155CC"/>
        <sz val="8.0"/>
        <u/>
      </rPr>
      <t>olistevens@students.dsbn.org</t>
    </r>
  </si>
  <si>
    <t>CHRISTINE</t>
  </si>
  <si>
    <t>WRIGHT</t>
  </si>
  <si>
    <r>
      <rPr>
        <rFont val="&quot;Helvetica Neue&quot;"/>
        <color rgb="FF1155CC"/>
        <sz val="8.0"/>
        <u/>
      </rPr>
      <t>ALLSERVICES@BELLNET.CA</t>
    </r>
  </si>
  <si>
    <t>Venera</t>
  </si>
  <si>
    <t>Bandzoski</t>
  </si>
  <si>
    <r>
      <rPr>
        <rFont val="&quot;Helvetica Neue&quot;"/>
        <color rgb="FF1155CC"/>
        <sz val="8.0"/>
        <u/>
      </rPr>
      <t>venera.bandzoski@rogers.com</t>
    </r>
  </si>
  <si>
    <t>Simon</t>
  </si>
  <si>
    <t>Kellu</t>
  </si>
  <si>
    <r>
      <rPr>
        <rFont val="&quot;Helvetica Neue&quot;"/>
        <color rgb="FF1155CC"/>
        <sz val="8.0"/>
        <u/>
      </rPr>
      <t>simonkellu@hotmail.com</t>
    </r>
  </si>
  <si>
    <t>Maitreyi</t>
  </si>
  <si>
    <t>Balhara</t>
  </si>
  <si>
    <r>
      <rPr>
        <rFont val="&quot;Helvetica Neue&quot;"/>
        <color rgb="FF1155CC"/>
        <sz val="8.0"/>
        <u/>
      </rPr>
      <t>Matziee06@gmail.com</t>
    </r>
  </si>
  <si>
    <t>Edwin</t>
  </si>
  <si>
    <t>Ricahuerta</t>
  </si>
  <si>
    <r>
      <rPr>
        <rFont val="&quot;Helvetica Neue&quot;"/>
        <color rgb="FF1155CC"/>
        <sz val="8.0"/>
        <u/>
      </rPr>
      <t>edwin.ricahuerta.er@gmail.com</t>
    </r>
  </si>
  <si>
    <t>Loreine</t>
  </si>
  <si>
    <t>Wago</t>
  </si>
  <si>
    <r>
      <rPr>
        <rFont val="&quot;Helvetica Neue&quot;"/>
        <color rgb="FF1155CC"/>
        <sz val="8.0"/>
        <u/>
      </rPr>
      <t>debowago@gmail.com</t>
    </r>
  </si>
  <si>
    <t>Nahid</t>
  </si>
  <si>
    <t>Aktar</t>
  </si>
  <si>
    <r>
      <rPr>
        <rFont val="&quot;Helvetica Neue&quot;"/>
        <color rgb="FF1155CC"/>
        <sz val="8.0"/>
        <u/>
      </rPr>
      <t>nahidaktar1970@gmail.com</t>
    </r>
  </si>
  <si>
    <t>(647) 831-4876</t>
  </si>
  <si>
    <t>Vino</t>
  </si>
  <si>
    <t>Balendra</t>
  </si>
  <si>
    <r>
      <rPr>
        <rFont val="&quot;Helvetica Neue&quot;"/>
        <color rgb="FF1155CC"/>
        <sz val="8.0"/>
        <u/>
      </rPr>
      <t>vnojan_1995@hotmail.com</t>
    </r>
  </si>
  <si>
    <t>Clarens</t>
  </si>
  <si>
    <t>Belotte</t>
  </si>
  <si>
    <r>
      <rPr>
        <rFont val="&quot;Helvetica Neue&quot;"/>
        <color rgb="FF1155CC"/>
        <sz val="8.0"/>
        <u/>
      </rPr>
      <t>bclarens@gmail.com</t>
    </r>
  </si>
  <si>
    <t>Marissa</t>
  </si>
  <si>
    <t>Monrose</t>
  </si>
  <si>
    <r>
      <rPr>
        <rFont val="&quot;Helvetica Neue&quot;"/>
        <color rgb="FF1155CC"/>
        <sz val="8.0"/>
        <u/>
      </rPr>
      <t>Marissa.monrose@gmail.com</t>
    </r>
  </si>
  <si>
    <t>Tyler</t>
  </si>
  <si>
    <t>Stinson</t>
  </si>
  <si>
    <r>
      <rPr>
        <rFont val="&quot;Helvetica Neue&quot;"/>
        <color rgb="FF1155CC"/>
        <sz val="8.0"/>
        <u/>
      </rPr>
      <t>tylerstinson9@hotmail.com</t>
    </r>
  </si>
  <si>
    <t>Mahbubur</t>
  </si>
  <si>
    <t>Rahman</t>
  </si>
  <si>
    <r>
      <rPr>
        <rFont val="&quot;Helvetica Neue&quot;"/>
        <color rgb="FF1155CC"/>
        <sz val="8.0"/>
        <u/>
      </rPr>
      <t>mahbub7@aol.com</t>
    </r>
  </si>
  <si>
    <t>437-255 8602</t>
  </si>
  <si>
    <t>Rakesh</t>
  </si>
  <si>
    <t>Sahoo</t>
  </si>
  <si>
    <r>
      <rPr>
        <rFont val="&quot;Helvetica Neue&quot;"/>
        <color rgb="FF1155CC"/>
        <sz val="8.0"/>
        <u/>
      </rPr>
      <t>Sahoorak5455@gmail.com</t>
    </r>
  </si>
  <si>
    <t>437-995-0220</t>
  </si>
  <si>
    <t>Amit</t>
  </si>
  <si>
    <t>Goel</t>
  </si>
  <si>
    <r>
      <rPr>
        <rFont val="&quot;Helvetica Neue&quot;"/>
        <color rgb="FF1155CC"/>
        <sz val="8.0"/>
        <u/>
      </rPr>
      <t>amitgoel0404@gmail.com</t>
    </r>
  </si>
  <si>
    <t>Fayyaz</t>
  </si>
  <si>
    <r>
      <rPr>
        <rFont val="&quot;Helvetica Neue&quot;"/>
        <color rgb="FF1155CC"/>
        <sz val="8.0"/>
        <u/>
      </rPr>
      <t>fayyaz416@gmail.com</t>
    </r>
  </si>
  <si>
    <t>ERONWONSELE</t>
  </si>
  <si>
    <t>EILOJIE</t>
  </si>
  <si>
    <r>
      <rPr>
        <rFont val="&quot;Helvetica Neue&quot;"/>
        <color rgb="FF1155CC"/>
        <sz val="8.0"/>
        <u/>
      </rPr>
      <t>eronwonseleayeni@gmail.com</t>
    </r>
  </si>
  <si>
    <t>mithila</t>
  </si>
  <si>
    <t>manhas</t>
  </si>
  <si>
    <r>
      <rPr>
        <rFont val="&quot;Helvetica Neue&quot;"/>
        <color rgb="FF1155CC"/>
        <sz val="8.0"/>
        <u/>
      </rPr>
      <t>mmanhas@ryan-design.com</t>
    </r>
  </si>
  <si>
    <t>tristan</t>
  </si>
  <si>
    <t>dottin</t>
  </si>
  <si>
    <r>
      <rPr>
        <rFont val="&quot;Helvetica Neue&quot;"/>
        <color rgb="FF1155CC"/>
        <sz val="8.0"/>
        <u/>
      </rPr>
      <t>tristan@march1stmedia.com</t>
    </r>
  </si>
  <si>
    <t>Nkem</t>
  </si>
  <si>
    <t>Bamgbose</t>
  </si>
  <si>
    <r>
      <rPr>
        <rFont val="&quot;Helvetica Neue&quot;"/>
        <color rgb="FF1155CC"/>
        <sz val="8.0"/>
        <u/>
      </rPr>
      <t>nkembamgbose@gmail.com</t>
    </r>
  </si>
  <si>
    <t>Lim</t>
  </si>
  <si>
    <r>
      <rPr>
        <rFont val="&quot;Helvetica Neue&quot;"/>
        <color rgb="FF1155CC"/>
        <sz val="8.0"/>
        <u/>
      </rPr>
      <t>chris.lim@live.com.my</t>
    </r>
  </si>
  <si>
    <t>Khawer</t>
  </si>
  <si>
    <t>Abbass</t>
  </si>
  <si>
    <r>
      <rPr>
        <rFont val="&quot;Helvetica Neue&quot;"/>
        <color rgb="FF1155CC"/>
        <sz val="8.0"/>
        <u/>
      </rPr>
      <t>Saarazavi@hotmail.com</t>
    </r>
  </si>
  <si>
    <t>Seirra</t>
  </si>
  <si>
    <t>Michelin</t>
  </si>
  <si>
    <r>
      <rPr>
        <rFont val="&quot;Helvetica Neue&quot;"/>
        <color rgb="FF1155CC"/>
        <sz val="8.0"/>
        <u/>
      </rPr>
      <t>slmichelins@gmail.com</t>
    </r>
  </si>
  <si>
    <t>SACHIN</t>
  </si>
  <si>
    <t>SAIGAL</t>
  </si>
  <si>
    <r>
      <rPr>
        <rFont val="&quot;Helvetica Neue&quot;"/>
        <color rgb="FF1155CC"/>
        <sz val="8.0"/>
        <u/>
      </rPr>
      <t>sachin.saigal2020@gmail.com</t>
    </r>
  </si>
  <si>
    <t>Hannah</t>
  </si>
  <si>
    <t>Oso</t>
  </si>
  <si>
    <r>
      <rPr>
        <rFont val="&quot;Helvetica Neue&quot;"/>
        <color rgb="FF1155CC"/>
        <sz val="8.0"/>
        <u/>
      </rPr>
      <t>hanilicious09@gmail.com</t>
    </r>
  </si>
  <si>
    <t>Arukshan</t>
  </si>
  <si>
    <t>Vijayakumar</t>
  </si>
  <si>
    <r>
      <rPr>
        <rFont val="&quot;Helvetica Neue&quot;"/>
        <color rgb="FF1155CC"/>
        <sz val="8.0"/>
        <u/>
      </rPr>
      <t>arukshanv@gmail.com</t>
    </r>
  </si>
  <si>
    <t>Yilmaz</t>
  </si>
  <si>
    <t>Aslan</t>
  </si>
  <si>
    <r>
      <rPr>
        <rFont val="&quot;Helvetica Neue&quot;"/>
        <color rgb="FF1155CC"/>
        <sz val="8.0"/>
        <u/>
      </rPr>
      <t>yilmazaslan@gmail.com</t>
    </r>
  </si>
  <si>
    <t>вЂЄ+1В (647)В 657вЂ‘8624в</t>
  </si>
  <si>
    <r>
      <rPr>
        <rFont val="&quot;Helvetica Neue&quot;"/>
        <color rgb="FF1155CC"/>
        <sz val="8.0"/>
        <u/>
      </rPr>
      <t>nidhi@dreamhouserealestate.ca</t>
    </r>
  </si>
  <si>
    <t>Vanessa</t>
  </si>
  <si>
    <t>Downer</t>
  </si>
  <si>
    <r>
      <rPr>
        <rFont val="&quot;Helvetica Neue&quot;"/>
        <color rgb="FF1155CC"/>
        <sz val="8.0"/>
        <u/>
      </rPr>
      <t>vanessandowner@gmail.com</t>
    </r>
  </si>
  <si>
    <t>Nicole</t>
  </si>
  <si>
    <t>Montoni</t>
  </si>
  <si>
    <r>
      <rPr>
        <rFont val="&quot;Helvetica Neue&quot;"/>
        <color rgb="FF1155CC"/>
        <sz val="8.0"/>
        <u/>
      </rPr>
      <t>Nicole.montoni@georgebrown.ca</t>
    </r>
  </si>
  <si>
    <t>437-979-4409</t>
  </si>
  <si>
    <t>Felgueiras</t>
  </si>
  <si>
    <r>
      <rPr>
        <rFont val="&quot;Helvetica Neue&quot;"/>
        <color rgb="FF1155CC"/>
        <sz val="8.0"/>
        <u/>
      </rPr>
      <t>durf2001@hotmail.com</t>
    </r>
  </si>
  <si>
    <t>Marisol</t>
  </si>
  <si>
    <t>Caceres Rubio</t>
  </si>
  <si>
    <r>
      <rPr>
        <rFont val="&quot;Helvetica Neue&quot;"/>
        <color rgb="FF1155CC"/>
        <sz val="8.0"/>
        <u/>
      </rPr>
      <t>marisolpulidogalindo@hotmail.com</t>
    </r>
  </si>
  <si>
    <t>Adrian</t>
  </si>
  <si>
    <t>Rajasingam</t>
  </si>
  <si>
    <r>
      <rPr>
        <rFont val="&quot;Helvetica Neue&quot;"/>
        <color rgb="FF1155CC"/>
        <sz val="8.0"/>
        <u/>
      </rPr>
      <t>adrian.rajasingam@gmail.com</t>
    </r>
  </si>
  <si>
    <t>Hisham</t>
  </si>
  <si>
    <t>Hasanein</t>
  </si>
  <si>
    <r>
      <rPr>
        <rFont val="&quot;Helvetica Neue&quot;"/>
        <color rgb="FF1155CC"/>
        <sz val="8.0"/>
        <u/>
      </rPr>
      <t>hisham_hasanein@yahoo.com</t>
    </r>
  </si>
  <si>
    <t>sripathi</t>
  </si>
  <si>
    <t>Sankar</t>
  </si>
  <si>
    <r>
      <rPr>
        <rFont val="&quot;Helvetica Neue&quot;"/>
        <color rgb="FF1155CC"/>
        <sz val="8.0"/>
        <u/>
      </rPr>
      <t>sripathi@yahoo.com</t>
    </r>
  </si>
  <si>
    <t>Shiny</t>
  </si>
  <si>
    <t>B</t>
  </si>
  <si>
    <r>
      <rPr>
        <rFont val="&quot;Helvetica Neue&quot;"/>
        <color rgb="FF1155CC"/>
        <sz val="8.0"/>
        <u/>
      </rPr>
      <t>Shinyb999@gmail.com</t>
    </r>
  </si>
  <si>
    <t>Mandeep</t>
  </si>
  <si>
    <t>Sadioura</t>
  </si>
  <si>
    <t>Mohammed</t>
  </si>
  <si>
    <r>
      <rPr>
        <rFont val="&quot;Helvetica Neue&quot;"/>
        <color rgb="FF1155CC"/>
        <sz val="8.0"/>
        <u/>
      </rPr>
      <t>Mohdibrahim.imran@yahoo.com</t>
    </r>
  </si>
  <si>
    <t>Yahya</t>
  </si>
  <si>
    <t>Beg</t>
  </si>
  <si>
    <r>
      <rPr>
        <rFont val="&quot;Helvetica Neue&quot;"/>
        <color rgb="FF1155CC"/>
        <sz val="8.0"/>
        <u/>
      </rPr>
      <t>yahya.beg@gmail.com</t>
    </r>
  </si>
  <si>
    <t>Vishal</t>
  </si>
  <si>
    <r>
      <rPr>
        <rFont val="&quot;Helvetica Neue&quot;"/>
        <color rgb="FF1155CC"/>
        <sz val="8.0"/>
        <u/>
      </rPr>
      <t>vbpatel1997@gmail.com</t>
    </r>
  </si>
  <si>
    <t>Da silva</t>
  </si>
  <si>
    <r>
      <rPr>
        <rFont val="&quot;Helvetica Neue&quot;"/>
        <color rgb="FF1155CC"/>
        <sz val="8.0"/>
        <u/>
      </rPr>
      <t>brandon.adam.dasilva@gmail.com</t>
    </r>
  </si>
  <si>
    <t>Kaddy</t>
  </si>
  <si>
    <t>Darry</t>
  </si>
  <si>
    <r>
      <t xml:space="preserve">Kaddydarry @ </t>
    </r>
    <r>
      <rPr>
        <rFont val="&quot;Helvetica Neue&quot;"/>
        <color rgb="FF1155CC"/>
        <sz val="8.0"/>
        <u/>
      </rPr>
      <t>gmail.com</t>
    </r>
  </si>
  <si>
    <r>
      <rPr>
        <rFont val="&quot;Helvetica Neue&quot;"/>
        <color rgb="FF1155CC"/>
        <sz val="8.0"/>
        <u/>
      </rPr>
      <t>Kaddydarry@gailm.com</t>
    </r>
  </si>
  <si>
    <t>416 7277403</t>
  </si>
  <si>
    <t>Hoda</t>
  </si>
  <si>
    <t>Abdul</t>
  </si>
  <si>
    <r>
      <rPr>
        <rFont val="&quot;Helvetica Neue&quot;"/>
        <color rgb="FF1155CC"/>
        <sz val="8.0"/>
        <u/>
      </rPr>
      <t>hoda@condosdeal.com</t>
    </r>
  </si>
  <si>
    <t>647-975-3839</t>
  </si>
  <si>
    <t>Santhiyaa</t>
  </si>
  <si>
    <t>Jeyamohan</t>
  </si>
  <si>
    <r>
      <rPr>
        <rFont val="&quot;Helvetica Neue&quot;"/>
        <color rgb="FF1155CC"/>
        <sz val="8.0"/>
        <u/>
      </rPr>
      <t>santhiyaaj@hotmail.com</t>
    </r>
  </si>
  <si>
    <t>kajendran</t>
  </si>
  <si>
    <t>kasippillai</t>
  </si>
  <si>
    <r>
      <rPr>
        <rFont val="&quot;Helvetica Neue&quot;"/>
        <color rgb="FF1155CC"/>
        <sz val="8.0"/>
        <u/>
      </rPr>
      <t>kajenpillai@gmail.com</t>
    </r>
  </si>
  <si>
    <t>Jessica</t>
  </si>
  <si>
    <t>Graham</t>
  </si>
  <si>
    <r>
      <rPr>
        <rFont val="&quot;Helvetica Neue&quot;"/>
        <color rgb="FF1155CC"/>
        <sz val="8.0"/>
        <u/>
      </rPr>
      <t>graham.jessica338@gmail.com</t>
    </r>
  </si>
  <si>
    <t>cheng</t>
  </si>
  <si>
    <t>mao</t>
  </si>
  <si>
    <r>
      <rPr>
        <rFont val="&quot;Helvetica Neue&quot;"/>
        <color rgb="FF1155CC"/>
        <sz val="8.0"/>
        <u/>
      </rPr>
      <t>fishshrimp@hotmail.com</t>
    </r>
  </si>
  <si>
    <t>Prabakaran</t>
  </si>
  <si>
    <t>Selvaraj</t>
  </si>
  <si>
    <r>
      <rPr>
        <rFont val="&quot;Helvetica Neue&quot;"/>
        <color rgb="FF1155CC"/>
        <sz val="8.0"/>
        <u/>
      </rPr>
      <t>praba161988@gmail.com</t>
    </r>
  </si>
  <si>
    <t>Jesumary</t>
  </si>
  <si>
    <t>Amalathas</t>
  </si>
  <si>
    <r>
      <rPr>
        <rFont val="&quot;Helvetica Neue&quot;"/>
        <color rgb="FF1155CC"/>
        <sz val="8.0"/>
        <u/>
      </rPr>
      <t>Jesumaryamalathas24@gmail.com</t>
    </r>
  </si>
  <si>
    <t>Madlen</t>
  </si>
  <si>
    <t>Girgis</t>
  </si>
  <si>
    <r>
      <rPr>
        <rFont val="&quot;Helvetica Neue&quot;"/>
        <color rgb="FF1155CC"/>
        <sz val="8.0"/>
        <u/>
      </rPr>
      <t>madlen.mourad@gmail.com</t>
    </r>
  </si>
  <si>
    <t>Jesica</t>
  </si>
  <si>
    <t>Sullivan-jacobs</t>
  </si>
  <si>
    <r>
      <rPr>
        <rFont val="&quot;Helvetica Neue&quot;"/>
        <color rgb="FF1155CC"/>
        <sz val="8.0"/>
        <u/>
      </rPr>
      <t>Jessysullivan45@gmail.com</t>
    </r>
  </si>
  <si>
    <t>(705) 307-8229</t>
  </si>
  <si>
    <t>Tya</t>
  </si>
  <si>
    <t>Wd</t>
  </si>
  <si>
    <r>
      <rPr>
        <rFont val="&quot;Helvetica Neue&quot;"/>
        <color rgb="FF1155CC"/>
        <sz val="8.0"/>
        <u/>
      </rPr>
      <t>tyawilliams0@gmail.com</t>
    </r>
  </si>
  <si>
    <t>Mishaha</t>
  </si>
  <si>
    <t>Khalid</t>
  </si>
  <si>
    <r>
      <rPr>
        <rFont val="&quot;Helvetica Neue&quot;"/>
        <color rgb="FF1155CC"/>
        <sz val="8.0"/>
        <u/>
      </rPr>
      <t>kmishaha@gmail.com</t>
    </r>
  </si>
  <si>
    <t>Joseph</t>
  </si>
  <si>
    <t>Petrini</t>
  </si>
  <si>
    <r>
      <rPr>
        <rFont val="&quot;Helvetica Neue&quot;"/>
        <color rgb="FF1155CC"/>
        <sz val="8.0"/>
        <u/>
      </rPr>
      <t>Petrini08@live.ca</t>
    </r>
  </si>
  <si>
    <t>647 502 2293</t>
  </si>
  <si>
    <t>Kam</t>
  </si>
  <si>
    <t>Salyamovs</t>
  </si>
  <si>
    <r>
      <rPr>
        <rFont val="&quot;Helvetica Neue&quot;"/>
        <color rgb="FF1155CC"/>
        <sz val="8.0"/>
        <u/>
      </rPr>
      <t>salyamovakamola@gmail.com</t>
    </r>
  </si>
  <si>
    <t>Rahul</t>
  </si>
  <si>
    <t>Pabba</t>
  </si>
  <si>
    <r>
      <rPr>
        <rFont val="&quot;Helvetica Neue&quot;"/>
        <color rgb="FF1155CC"/>
        <sz val="8.0"/>
        <u/>
      </rPr>
      <t>Rahulpabbas3@gmail.com</t>
    </r>
  </si>
  <si>
    <t>Ron</t>
  </si>
  <si>
    <t>Burke</t>
  </si>
  <si>
    <r>
      <rPr>
        <rFont val="&quot;Helvetica Neue&quot;"/>
        <color rgb="FF1155CC"/>
        <sz val="8.0"/>
        <u/>
      </rPr>
      <t>roaburke@gmail.com</t>
    </r>
  </si>
  <si>
    <t>Samee</t>
  </si>
  <si>
    <r>
      <rPr>
        <rFont val="&quot;Helvetica Neue&quot;"/>
        <color rgb="FF1155CC"/>
        <sz val="8.0"/>
        <u/>
      </rPr>
      <t>sameeahmed01@gmail.com</t>
    </r>
  </si>
  <si>
    <t>ANIL</t>
  </si>
  <si>
    <t>NAGPAL</t>
  </si>
  <si>
    <r>
      <rPr>
        <rFont val="&quot;Helvetica Neue&quot;"/>
        <color rgb="FF1155CC"/>
        <sz val="8.0"/>
        <u/>
      </rPr>
      <t>anil.nagpal61@yahoo.ca</t>
    </r>
  </si>
  <si>
    <t>Min</t>
  </si>
  <si>
    <t>Ada</t>
  </si>
  <si>
    <r>
      <rPr>
        <rFont val="&quot;Helvetica Neue&quot;"/>
        <color rgb="FF1155CC"/>
        <sz val="8.0"/>
        <u/>
      </rPr>
      <t>minada077@gmail.com</t>
    </r>
  </si>
  <si>
    <t>Latifur</t>
  </si>
  <si>
    <t>Rahaman</t>
  </si>
  <si>
    <r>
      <t xml:space="preserve">LATIFUR </t>
    </r>
    <r>
      <rPr>
        <rFont val="&quot;Helvetica Neue&quot;"/>
        <color rgb="FF1155CC"/>
        <sz val="8.0"/>
        <u/>
      </rPr>
      <t>88@gmail.com</t>
    </r>
  </si>
  <si>
    <t>416-949-4530</t>
  </si>
  <si>
    <t>Moh</t>
  </si>
  <si>
    <t>Vawda</t>
  </si>
  <si>
    <r>
      <rPr>
        <rFont val="&quot;Helvetica Neue&quot;"/>
        <color rgb="FF1155CC"/>
        <sz val="8.0"/>
        <u/>
      </rPr>
      <t>Mohvawda@gmail.com</t>
    </r>
  </si>
  <si>
    <t>Sanjitha</t>
  </si>
  <si>
    <t>Kugan</t>
  </si>
  <si>
    <r>
      <rPr>
        <rFont val="&quot;Helvetica Neue&quot;"/>
        <color rgb="FF1155CC"/>
        <sz val="8.0"/>
        <u/>
      </rPr>
      <t>sanjithaku@icloud.com</t>
    </r>
  </si>
  <si>
    <t>Kiran</t>
  </si>
  <si>
    <t>Dembla</t>
  </si>
  <si>
    <r>
      <rPr>
        <rFont val="&quot;Helvetica Neue&quot;"/>
        <color rgb="FF1155CC"/>
        <sz val="8.0"/>
        <u/>
      </rPr>
      <t>Kirandembla14@gmail.com</t>
    </r>
  </si>
  <si>
    <t>Muntaha</t>
  </si>
  <si>
    <t>Alnaboot</t>
  </si>
  <si>
    <r>
      <rPr>
        <rFont val="&quot;Helvetica Neue&quot;"/>
        <color rgb="FF1155CC"/>
        <sz val="8.0"/>
        <u/>
      </rPr>
      <t>malnaboot@yahoo.com</t>
    </r>
  </si>
  <si>
    <t>Melissa</t>
  </si>
  <si>
    <t>Macaluso</t>
  </si>
  <si>
    <r>
      <rPr>
        <rFont val="&quot;Helvetica Neue&quot;"/>
        <color rgb="FF1155CC"/>
        <sz val="8.0"/>
        <u/>
      </rPr>
      <t>melissa.macaluso@outlook.com</t>
    </r>
  </si>
  <si>
    <t>Alex</t>
  </si>
  <si>
    <t>Pirabakaran</t>
  </si>
  <si>
    <r>
      <rPr>
        <rFont val="&quot;Helvetica Neue&quot;"/>
        <color rgb="FF1155CC"/>
        <sz val="8.0"/>
        <u/>
      </rPr>
      <t>alex.pirabakaran@ontariotechu.net</t>
    </r>
  </si>
  <si>
    <t>Mohitaрџ§�вЂЌв™ЂпёЏ</t>
  </si>
  <si>
    <t>Arora</t>
  </si>
  <si>
    <r>
      <rPr>
        <rFont val="&quot;Helvetica Neue&quot;"/>
        <color rgb="FF1155CC"/>
        <sz val="8.0"/>
        <u/>
      </rPr>
      <t>mohita.aroraa@gmail.com</t>
    </r>
  </si>
  <si>
    <t>Muhammad Abdul Qadir</t>
  </si>
  <si>
    <t>Noor</t>
  </si>
  <si>
    <r>
      <rPr>
        <rFont val="&quot;Helvetica Neue&quot;"/>
        <color rgb="FF1155CC"/>
        <sz val="8.0"/>
        <u/>
      </rPr>
      <t>qadirnoor87@gmail.com</t>
    </r>
  </si>
  <si>
    <t>Malika</t>
  </si>
  <si>
    <t>Ghous</t>
  </si>
  <si>
    <r>
      <rPr>
        <rFont val="&quot;Helvetica Neue&quot;"/>
        <color rgb="FF1155CC"/>
        <sz val="8.0"/>
        <u/>
      </rPr>
      <t>Malikaghous2001@gmail.com</t>
    </r>
  </si>
  <si>
    <t>Keshiana</t>
  </si>
  <si>
    <t>Wallace-Rainford</t>
  </si>
  <si>
    <r>
      <rPr>
        <rFont val="&quot;Helvetica Neue&quot;"/>
        <color rgb="FF1155CC"/>
        <sz val="8.0"/>
        <u/>
      </rPr>
      <t>kesh576@gmail.com</t>
    </r>
  </si>
  <si>
    <t>(647) 542-5374</t>
  </si>
  <si>
    <t>Deepa</t>
  </si>
  <si>
    <t>Bhatia</t>
  </si>
  <si>
    <r>
      <rPr>
        <rFont val="&quot;Helvetica Neue&quot;"/>
        <color rgb="FF1155CC"/>
        <sz val="8.0"/>
        <u/>
      </rPr>
      <t>mushyorts@yahoo.com</t>
    </r>
  </si>
  <si>
    <t>Pia</t>
  </si>
  <si>
    <r>
      <rPr>
        <rFont val="&quot;Helvetica Neue&quot;"/>
        <color rgb="FF1155CC"/>
        <sz val="8.0"/>
        <u/>
      </rPr>
      <t>Kumarpa987@gmail.com</t>
    </r>
  </si>
  <si>
    <t>Liza</t>
  </si>
  <si>
    <t>Chung</t>
  </si>
  <si>
    <r>
      <rPr>
        <rFont val="&quot;Helvetica Neue&quot;"/>
        <color rgb="FF1155CC"/>
        <sz val="8.0"/>
        <u/>
      </rPr>
      <t>lizagrace777@gmail.com</t>
    </r>
  </si>
  <si>
    <t>Steve</t>
  </si>
  <si>
    <t>Waldriff</t>
  </si>
  <si>
    <r>
      <rPr>
        <rFont val="&quot;Helvetica Neue&quot;"/>
        <color rgb="FF1155CC"/>
        <sz val="8.0"/>
        <u/>
      </rPr>
      <t>steve.waldriff@hotmail.com</t>
    </r>
  </si>
  <si>
    <t>416-832-5068</t>
  </si>
  <si>
    <t>Claudia</t>
  </si>
  <si>
    <t>De Caria</t>
  </si>
  <si>
    <r>
      <rPr>
        <rFont val="&quot;Helvetica Neue&quot;"/>
        <color rgb="FF1155CC"/>
        <sz val="8.0"/>
        <u/>
      </rPr>
      <t>Claudia.decaria@yahoo.ca</t>
    </r>
  </si>
  <si>
    <t>Faiza</t>
  </si>
  <si>
    <r>
      <rPr>
        <rFont val="&quot;Helvetica Neue&quot;"/>
        <color rgb="FF1155CC"/>
        <sz val="8.0"/>
        <u/>
      </rPr>
      <t>Faiza1994@hotmail.de</t>
    </r>
  </si>
  <si>
    <t>Marcia</t>
  </si>
  <si>
    <t>Gardner</t>
  </si>
  <si>
    <r>
      <rPr>
        <rFont val="&quot;Helvetica Neue&quot;"/>
        <color rgb="FF1155CC"/>
        <sz val="8.0"/>
        <u/>
      </rPr>
      <t>mariaanhv@yahoo.com</t>
    </r>
  </si>
  <si>
    <t>Priya</t>
  </si>
  <si>
    <t>Shukla</t>
  </si>
  <si>
    <r>
      <rPr>
        <rFont val="&quot;Helvetica Neue&quot;"/>
        <color rgb="FF1155CC"/>
        <sz val="8.0"/>
        <u/>
      </rPr>
      <t>pdshukla016@gmail.com</t>
    </r>
  </si>
  <si>
    <t>Nelson</t>
  </si>
  <si>
    <t>Massey</t>
  </si>
  <si>
    <r>
      <rPr>
        <rFont val="&quot;Helvetica Neue&quot;"/>
        <color rgb="FF1155CC"/>
        <sz val="8.0"/>
        <u/>
      </rPr>
      <t>nelsonmassey@outlook.com</t>
    </r>
  </si>
  <si>
    <t>kemal</t>
  </si>
  <si>
    <r>
      <rPr>
        <rFont val="&quot;Helvetica Neue&quot;"/>
        <color rgb="FF1155CC"/>
        <sz val="8.0"/>
        <u/>
      </rPr>
      <t>kemhamid@gmail.com</t>
    </r>
  </si>
  <si>
    <t>Fernandes</t>
  </si>
  <si>
    <r>
      <rPr>
        <rFont val="&quot;Helvetica Neue&quot;"/>
        <color rgb="FF1155CC"/>
        <sz val="8.0"/>
        <u/>
      </rPr>
      <t>jferns8471@gmail.com</t>
    </r>
  </si>
  <si>
    <t>Yassine</t>
  </si>
  <si>
    <r>
      <rPr>
        <rFont val="&quot;Helvetica Neue&quot;"/>
        <color rgb="FF1155CC"/>
        <sz val="8.0"/>
        <u/>
      </rPr>
      <t>David.yassine@webyassine.com</t>
    </r>
  </si>
  <si>
    <t>Zohal</t>
  </si>
  <si>
    <t>Nazeri</t>
  </si>
  <si>
    <r>
      <rPr>
        <rFont val="&quot;Helvetica Neue&quot;"/>
        <color rgb="FF1155CC"/>
        <sz val="8.0"/>
        <u/>
      </rPr>
      <t>zohalnazeri3@gmail.com</t>
    </r>
  </si>
  <si>
    <t>Iqbal</t>
  </si>
  <si>
    <r>
      <rPr>
        <rFont val="&quot;Helvetica Neue&quot;"/>
        <color rgb="FF1155CC"/>
        <sz val="8.0"/>
        <u/>
      </rPr>
      <t>Iqbalkarim4@gmail.com</t>
    </r>
  </si>
  <si>
    <t>Rayah</t>
  </si>
  <si>
    <t>Guerrier</t>
  </si>
  <si>
    <r>
      <rPr>
        <rFont val="&quot;Helvetica Neue&quot;"/>
        <color rgb="FF1155CC"/>
        <sz val="8.0"/>
        <u/>
      </rPr>
      <t>rayahg94@gmail.com</t>
    </r>
  </si>
  <si>
    <t>VANESSA</t>
  </si>
  <si>
    <t>FIEBIG</t>
  </si>
  <si>
    <r>
      <rPr>
        <rFont val="&quot;Helvetica Neue&quot;"/>
        <color rgb="FF1155CC"/>
        <sz val="8.0"/>
        <u/>
      </rPr>
      <t>vanessa79.teacher@gmail.com</t>
    </r>
  </si>
  <si>
    <t>Welathantrige Milan</t>
  </si>
  <si>
    <t>Botheju</t>
  </si>
  <si>
    <r>
      <rPr>
        <rFont val="&quot;Helvetica Neue&quot;"/>
        <color rgb="FF1155CC"/>
        <sz val="8.0"/>
        <u/>
      </rPr>
      <t>doodleyprints@gmail.com</t>
    </r>
  </si>
  <si>
    <t>Matthew</t>
  </si>
  <si>
    <t>Lee</t>
  </si>
  <si>
    <r>
      <rPr>
        <rFont val="&quot;Helvetica Neue&quot;"/>
        <color rgb="FF1155CC"/>
        <sz val="8.0"/>
        <u/>
      </rPr>
      <t>lee119u@gmail.com</t>
    </r>
  </si>
  <si>
    <t>Erica</t>
  </si>
  <si>
    <t>Caines</t>
  </si>
  <si>
    <r>
      <rPr>
        <rFont val="&quot;Helvetica Neue&quot;"/>
        <color rgb="FF1155CC"/>
        <sz val="8.0"/>
        <u/>
      </rPr>
      <t>ericacherisherica@gmail.com</t>
    </r>
  </si>
  <si>
    <t>Muhammad Babur</t>
  </si>
  <si>
    <t>Riaz</t>
  </si>
  <si>
    <r>
      <rPr>
        <rFont val="&quot;Helvetica Neue&quot;"/>
        <color rgb="FF1155CC"/>
        <sz val="8.0"/>
        <u/>
      </rPr>
      <t>babarriaza@yahoo.com</t>
    </r>
  </si>
  <si>
    <t>Pablo</t>
  </si>
  <si>
    <t>J. Herrera</t>
  </si>
  <si>
    <r>
      <rPr>
        <rFont val="&quot;Helvetica Neue&quot;"/>
        <color rgb="FF1155CC"/>
        <sz val="8.0"/>
        <u/>
      </rPr>
      <t>jacksmithlokixx9882@gmail.com</t>
    </r>
  </si>
  <si>
    <t>Dora</t>
  </si>
  <si>
    <t>Dan</t>
  </si>
  <si>
    <r>
      <rPr>
        <rFont val="&quot;Helvetica Neue&quot;"/>
        <color rgb="FF1155CC"/>
        <sz val="8.0"/>
        <u/>
      </rPr>
      <t>dd3609567@gmail.com</t>
    </r>
  </si>
  <si>
    <t>Scott</t>
  </si>
  <si>
    <t>Cudmore</t>
  </si>
  <si>
    <r>
      <rPr>
        <rFont val="&quot;Helvetica Neue&quot;"/>
        <color rgb="FF1155CC"/>
        <sz val="8.0"/>
        <u/>
      </rPr>
      <t>Admin@advancedalarmsltd.com</t>
    </r>
  </si>
  <si>
    <t>p:+14165206787</t>
  </si>
  <si>
    <t>Dyanne</t>
  </si>
  <si>
    <t>de vera</t>
  </si>
  <si>
    <r>
      <rPr>
        <rFont val="&quot;Helvetica Neue&quot;"/>
        <color rgb="FF1155CC"/>
        <sz val="8.0"/>
        <u/>
      </rPr>
      <t>Apple_dkf@yahoo.com</t>
    </r>
  </si>
  <si>
    <t>p:+14164557181</t>
  </si>
  <si>
    <t>Hussam</t>
  </si>
  <si>
    <t>Abo Loghod</t>
  </si>
  <si>
    <r>
      <rPr>
        <rFont val="&quot;Helvetica Neue&quot;"/>
        <color rgb="FF1155CC"/>
        <sz val="8.0"/>
        <u/>
      </rPr>
      <t>Hussam@11211.ca</t>
    </r>
  </si>
  <si>
    <t>p:+19055444448</t>
  </si>
  <si>
    <t>LaFleur Dublin</t>
  </si>
  <si>
    <t>Dublin</t>
  </si>
  <si>
    <r>
      <rPr>
        <rFont val="&quot;Helvetica Neue&quot;"/>
        <color rgb="FF1155CC"/>
        <sz val="8.0"/>
        <u/>
      </rPr>
      <t>dublinlafleur@gmail.com</t>
    </r>
  </si>
  <si>
    <t>p:+14168796186</t>
  </si>
  <si>
    <t>Tanya</t>
  </si>
  <si>
    <t>Brui</t>
  </si>
  <si>
    <r>
      <rPr>
        <rFont val="&quot;Helvetica Neue&quot;"/>
        <color rgb="FF1155CC"/>
        <sz val="8.0"/>
        <u/>
      </rPr>
      <t>Tanya.brui@gmail.com</t>
    </r>
  </si>
  <si>
    <t>p:+14167204013</t>
  </si>
  <si>
    <t>Suguna</t>
  </si>
  <si>
    <t>Veerla</t>
  </si>
  <si>
    <r>
      <rPr>
        <rFont val="&quot;Helvetica Neue&quot;"/>
        <color rgb="FF1155CC"/>
        <sz val="8.0"/>
        <u/>
      </rPr>
      <t>suguna.veerla@gmail.com</t>
    </r>
  </si>
  <si>
    <t>p:+14168349032</t>
  </si>
  <si>
    <t>Pushpinder</t>
  </si>
  <si>
    <t>Gill</t>
  </si>
  <si>
    <r>
      <rPr>
        <rFont val="&quot;Helvetica Neue&quot;"/>
        <color rgb="FF1155CC"/>
        <sz val="8.0"/>
        <u/>
      </rPr>
      <t>pgill@royalcanadianrealty.com</t>
    </r>
  </si>
  <si>
    <t>p:+16472956144</t>
  </si>
  <si>
    <t>Ade</t>
  </si>
  <si>
    <t>Lawrence</t>
  </si>
  <si>
    <r>
      <rPr>
        <rFont val="&quot;Helvetica Neue&quot;"/>
        <color rgb="FF1155CC"/>
        <sz val="8.0"/>
        <u/>
      </rPr>
      <t>skayodemoses@gmail.com</t>
    </r>
  </si>
  <si>
    <t>p:+14375535670</t>
  </si>
  <si>
    <t>Elias</t>
  </si>
  <si>
    <t>Nakhle</t>
  </si>
  <si>
    <r>
      <rPr>
        <rFont val="&quot;Helvetica Neue&quot;"/>
        <color rgb="FF1155CC"/>
        <sz val="8.0"/>
        <u/>
      </rPr>
      <t>elias43nakhle@gmail.com</t>
    </r>
  </si>
  <si>
    <t>p:+14162006666</t>
  </si>
  <si>
    <t>Shakeeloneil</t>
  </si>
  <si>
    <t>Baig</t>
  </si>
  <si>
    <r>
      <rPr>
        <rFont val="&quot;Helvetica Neue&quot;"/>
        <color rgb="FF1155CC"/>
        <sz val="8.0"/>
        <u/>
      </rPr>
      <t>shakeeloneil@yahoo.com</t>
    </r>
  </si>
  <si>
    <t>p:+16476182844</t>
  </si>
  <si>
    <t>Robertson</t>
  </si>
  <si>
    <r>
      <rPr>
        <rFont val="&quot;Helvetica Neue&quot;"/>
        <color rgb="FF1155CC"/>
        <sz val="8.0"/>
        <u/>
      </rPr>
      <t>mik_e_mouse@msn.com</t>
    </r>
  </si>
  <si>
    <t>p:+14169701925</t>
  </si>
  <si>
    <t>naglaa</t>
  </si>
  <si>
    <t>abou bakr</t>
  </si>
  <si>
    <r>
      <rPr>
        <rFont val="&quot;Helvetica Neue&quot;"/>
        <color rgb="FF1155CC"/>
        <sz val="8.0"/>
        <u/>
      </rPr>
      <t>naglaa26@hotmail.com</t>
    </r>
  </si>
  <si>
    <t>p:+16476805541</t>
  </si>
  <si>
    <t>Sadru</t>
  </si>
  <si>
    <t>Sekander</t>
  </si>
  <si>
    <r>
      <rPr>
        <rFont val="&quot;Helvetica Neue&quot;"/>
        <color rgb="FF1155CC"/>
        <sz val="8.0"/>
        <u/>
      </rPr>
      <t>sadru.sekander@gmail.com</t>
    </r>
  </si>
  <si>
    <t>p:+16478971526</t>
  </si>
  <si>
    <t>Theresa</t>
  </si>
  <si>
    <t>O'Brien</t>
  </si>
  <si>
    <r>
      <rPr>
        <rFont val="&quot;Helvetica Neue&quot;"/>
        <color rgb="FF1155CC"/>
        <sz val="8.0"/>
        <u/>
      </rPr>
      <t>obrientheresa84@gmail.com</t>
    </r>
  </si>
  <si>
    <t>p:+16477139512</t>
  </si>
  <si>
    <t>cintia</t>
  </si>
  <si>
    <t>galamb cintia</t>
  </si>
  <si>
    <r>
      <rPr>
        <rFont val="&quot;Helvetica Neue&quot;"/>
        <color rgb="FF1155CC"/>
        <sz val="8.0"/>
        <u/>
      </rPr>
      <t>istvanganko25@gmail.com</t>
    </r>
  </si>
  <si>
    <t>p:+36301931355</t>
  </si>
  <si>
    <t>Jay</t>
  </si>
  <si>
    <t>Daught</t>
  </si>
  <si>
    <r>
      <rPr>
        <rFont val="&quot;Helvetica Neue&quot;"/>
        <color rgb="FF1155CC"/>
        <sz val="8.0"/>
        <u/>
      </rPr>
      <t>jaydaught@gmail.com</t>
    </r>
  </si>
  <si>
    <t>p:+14374636305</t>
  </si>
  <si>
    <t>Ram</t>
  </si>
  <si>
    <r>
      <rPr>
        <rFont val="&quot;Helvetica Neue&quot;"/>
        <color rgb="FF1155CC"/>
        <sz val="8.0"/>
        <u/>
      </rPr>
      <t>emiljosephpalathra23@gmail.com</t>
    </r>
  </si>
  <si>
    <t>p:+14165658485</t>
  </si>
  <si>
    <t>Dhimiter</t>
  </si>
  <si>
    <t>Pema</t>
  </si>
  <si>
    <r>
      <rPr>
        <rFont val="&quot;Helvetica Neue&quot;"/>
        <color rgb="FF1155CC"/>
        <sz val="8.0"/>
        <u/>
      </rPr>
      <t>dhimiterpema@gmail.com</t>
    </r>
  </si>
  <si>
    <t>p:+16478591347</t>
  </si>
  <si>
    <t>Denilson</t>
  </si>
  <si>
    <t>Fontaine</t>
  </si>
  <si>
    <r>
      <rPr>
        <rFont val="&quot;Helvetica Neue&quot;"/>
        <color rgb="FF1155CC"/>
        <sz val="8.0"/>
        <u/>
      </rPr>
      <t>denilson.fontaine@gmail.com</t>
    </r>
  </si>
  <si>
    <t>p:+14168313799</t>
  </si>
  <si>
    <t>Ed</t>
  </si>
  <si>
    <t>Velante</t>
  </si>
  <si>
    <r>
      <rPr>
        <rFont val="&quot;Helvetica Neue&quot;"/>
        <color rgb="FF1155CC"/>
        <sz val="8.0"/>
        <u/>
      </rPr>
      <t>edvelante@hotmail.com</t>
    </r>
  </si>
  <si>
    <t>p:+14168226091</t>
  </si>
  <si>
    <t>Mark Anthony</t>
  </si>
  <si>
    <t>Catubay</t>
  </si>
  <si>
    <r>
      <rPr>
        <rFont val="&quot;Helvetica Neue&quot;"/>
        <color rgb="FF1155CC"/>
        <sz val="8.0"/>
        <u/>
      </rPr>
      <t>markanthony.catubay@gmail.com</t>
    </r>
  </si>
  <si>
    <t>p:+14378182723</t>
  </si>
  <si>
    <t>Martha</t>
  </si>
  <si>
    <t>Gibson Del Grande</t>
  </si>
  <si>
    <r>
      <rPr>
        <rFont val="&quot;Helvetica Neue&quot;"/>
        <color rgb="FF1155CC"/>
        <sz val="8.0"/>
        <u/>
      </rPr>
      <t>marthadelgrande@yahoo.ca</t>
    </r>
  </si>
  <si>
    <t>p:+14378492069</t>
  </si>
  <si>
    <t>Mani</t>
  </si>
  <si>
    <r>
      <rPr>
        <rFont val="&quot;Helvetica Neue&quot;"/>
        <color rgb="FF1155CC"/>
        <sz val="8.0"/>
        <u/>
      </rPr>
      <t>mani.kumar70@yahoo.com</t>
    </r>
  </si>
  <si>
    <t>p:+16479571128</t>
  </si>
  <si>
    <t>Jamie</t>
  </si>
  <si>
    <t>Sylvester</t>
  </si>
  <si>
    <r>
      <rPr>
        <rFont val="&quot;Helvetica Neue&quot;"/>
        <color rgb="FF1155CC"/>
        <sz val="8.0"/>
        <u/>
      </rPr>
      <t>jamie@jamiesylvester.com</t>
    </r>
  </si>
  <si>
    <t>p:+16479966561</t>
  </si>
  <si>
    <t>Charles</t>
  </si>
  <si>
    <t>Provis</t>
  </si>
  <si>
    <r>
      <rPr>
        <rFont val="&quot;Helvetica Neue&quot;"/>
        <color rgb="FF1155CC"/>
        <sz val="8.0"/>
        <u/>
      </rPr>
      <t>charlesprovis9@gmail.com</t>
    </r>
  </si>
  <si>
    <t>p:+17058783125</t>
  </si>
  <si>
    <t>George</t>
  </si>
  <si>
    <t>Tserbis</t>
  </si>
  <si>
    <r>
      <rPr>
        <rFont val="&quot;Helvetica Neue&quot;"/>
        <color rgb="FF1155CC"/>
        <sz val="8.0"/>
        <u/>
      </rPr>
      <t>Perfectimagepainting@hotmail.com</t>
    </r>
  </si>
  <si>
    <t>p:+14168766155</t>
  </si>
  <si>
    <t>Jane</t>
  </si>
  <si>
    <t>Merrill</t>
  </si>
  <si>
    <r>
      <rPr>
        <rFont val="&quot;Helvetica Neue&quot;"/>
        <color rgb="FF1155CC"/>
        <sz val="8.0"/>
        <u/>
      </rPr>
      <t>janemerrill100@gmail.com</t>
    </r>
  </si>
  <si>
    <t>p:+19059871958</t>
  </si>
  <si>
    <t>Tanvir</t>
  </si>
  <si>
    <t>Zehra</t>
  </si>
  <si>
    <r>
      <rPr>
        <rFont val="&quot;Helvetica Neue&quot;"/>
        <color rgb="FF1155CC"/>
        <sz val="8.0"/>
        <u/>
      </rPr>
      <t>t_zehra@outlookw.com</t>
    </r>
  </si>
  <si>
    <t>p:+19056866861</t>
  </si>
  <si>
    <t>Jerry</t>
  </si>
  <si>
    <t>Desjardins</t>
  </si>
  <si>
    <r>
      <rPr>
        <rFont val="&quot;Helvetica Neue&quot;"/>
        <color rgb="FF1155CC"/>
        <sz val="8.0"/>
        <u/>
      </rPr>
      <t>desjardinsjerry8@gmail.com</t>
    </r>
  </si>
  <si>
    <t>p:+12899338618</t>
  </si>
  <si>
    <t>Kamatie</t>
  </si>
  <si>
    <t>Mangroo</t>
  </si>
  <si>
    <r>
      <rPr>
        <rFont val="&quot;Helvetica Neue&quot;"/>
        <color rgb="FF1155CC"/>
        <sz val="8.0"/>
        <u/>
      </rPr>
      <t>Gofastexpressinc@hotmail.ca</t>
    </r>
  </si>
  <si>
    <t>p:+16477010862</t>
  </si>
  <si>
    <t>Salah</t>
  </si>
  <si>
    <t>Yafa</t>
  </si>
  <si>
    <r>
      <rPr>
        <rFont val="&quot;Helvetica Neue&quot;"/>
        <color rgb="FF1155CC"/>
        <sz val="8.0"/>
        <u/>
      </rPr>
      <t>saleh.yafaa5124@gmail.com</t>
    </r>
  </si>
  <si>
    <t>p:+19058707959</t>
  </si>
  <si>
    <t>Leuol</t>
  </si>
  <si>
    <t>Nanula</t>
  </si>
  <si>
    <r>
      <rPr>
        <rFont val="&quot;Helvetica Neue&quot;"/>
        <color rgb="FF1155CC"/>
        <sz val="8.0"/>
        <u/>
      </rPr>
      <t>louelalunan@yahoo.com</t>
    </r>
  </si>
  <si>
    <t>p:+12898853418</t>
  </si>
  <si>
    <t>Chandrika</t>
  </si>
  <si>
    <t>Kandiah</t>
  </si>
  <si>
    <r>
      <rPr>
        <rFont val="&quot;Helvetica Neue&quot;"/>
        <color rgb="FF1155CC"/>
        <sz val="8.0"/>
        <u/>
      </rPr>
      <t>chandrikakandaiyah@icloud.com</t>
    </r>
  </si>
  <si>
    <t>p:+14167281196</t>
  </si>
  <si>
    <t>Jewel</t>
  </si>
  <si>
    <t>Sarker</t>
  </si>
  <si>
    <r>
      <rPr>
        <rFont val="&quot;Helvetica Neue&quot;"/>
        <color rgb="FF1155CC"/>
        <sz val="8.0"/>
        <u/>
      </rPr>
      <t>jewel_sarker2004@yahoo.com</t>
    </r>
  </si>
  <si>
    <t>p:+16475134318</t>
  </si>
  <si>
    <t>Devinder</t>
  </si>
  <si>
    <r>
      <rPr>
        <rFont val="&quot;Helvetica Neue&quot;"/>
        <color rgb="FF1155CC"/>
        <sz val="8.0"/>
        <u/>
      </rPr>
      <t>devinder28@hotmail.com</t>
    </r>
  </si>
  <si>
    <t>p:+14169535476</t>
  </si>
  <si>
    <t>Telma</t>
  </si>
  <si>
    <t>Faria</t>
  </si>
  <si>
    <r>
      <rPr>
        <rFont val="&quot;Helvetica Neue&quot;"/>
        <color rgb="FF1155CC"/>
        <sz val="8.0"/>
        <u/>
      </rPr>
      <t>nelma323@hotmail.com</t>
    </r>
  </si>
  <si>
    <t>p:+16477466402</t>
  </si>
  <si>
    <t>Sofia</t>
  </si>
  <si>
    <r>
      <rPr>
        <rFont val="&quot;Helvetica Neue&quot;"/>
        <color rgb="FF1155CC"/>
        <sz val="8.0"/>
        <u/>
      </rPr>
      <t>aab.sofia@yahoo.com</t>
    </r>
  </si>
  <si>
    <t>p:+15195620672</t>
  </si>
  <si>
    <t>Craig</t>
  </si>
  <si>
    <t>Weldon</t>
  </si>
  <si>
    <r>
      <rPr>
        <rFont val="&quot;Helvetica Neue&quot;"/>
        <color rgb="FF1155CC"/>
        <sz val="8.0"/>
        <u/>
      </rPr>
      <t>theweldongroup@rogers.com</t>
    </r>
  </si>
  <si>
    <t>p:+19052599453</t>
  </si>
  <si>
    <t>Lisa</t>
  </si>
  <si>
    <t>Machado</t>
  </si>
  <si>
    <r>
      <rPr>
        <rFont val="&quot;Helvetica Neue&quot;"/>
        <color rgb="FF1155CC"/>
        <sz val="8.0"/>
        <u/>
      </rPr>
      <t>Lisa-machado1@hotmail.com</t>
    </r>
  </si>
  <si>
    <t>p:+16474039728</t>
  </si>
  <si>
    <r>
      <rPr>
        <rFont val="&quot;Helvetica Neue&quot;"/>
        <color rgb="FF1155CC"/>
        <sz val="8.0"/>
        <u/>
      </rPr>
      <t>drvpsingh65@outlook.com</t>
    </r>
  </si>
  <si>
    <t>p:+14163199429</t>
  </si>
  <si>
    <t>Shams</t>
  </si>
  <si>
    <t>Siddiqui</t>
  </si>
  <si>
    <r>
      <rPr>
        <rFont val="&quot;Helvetica Neue&quot;"/>
        <color rgb="FF1155CC"/>
        <sz val="8.0"/>
        <u/>
      </rPr>
      <t>shams.siddiqui@hotmail.com</t>
    </r>
  </si>
  <si>
    <t>p:+923322230603</t>
  </si>
  <si>
    <t>Ana</t>
  </si>
  <si>
    <t>Carrasquel</t>
  </si>
  <si>
    <r>
      <rPr>
        <rFont val="&quot;Helvetica Neue&quot;"/>
        <color rgb="FF1155CC"/>
        <sz val="8.0"/>
        <u/>
      </rPr>
      <t>anajcarrasquel@gmail.com</t>
    </r>
  </si>
  <si>
    <t>Monica</t>
  </si>
  <si>
    <t>Chen</t>
  </si>
  <si>
    <r>
      <rPr>
        <rFont val="&quot;Helvetica Neue&quot;"/>
        <color rgb="FF1155CC"/>
        <sz val="8.0"/>
        <u/>
      </rPr>
      <t>mkcchen815@gmail.com</t>
    </r>
  </si>
  <si>
    <t>647-686-6879</t>
  </si>
  <si>
    <t>Habib rahman</t>
  </si>
  <si>
    <t>Arghandeewal</t>
  </si>
  <si>
    <r>
      <rPr>
        <rFont val="&quot;Helvetica Neue&quot;"/>
        <color rgb="FF1155CC"/>
        <sz val="8.0"/>
        <u/>
      </rPr>
      <t>Habibwaqar080@gmail.com</t>
    </r>
  </si>
  <si>
    <t>Ivanna</t>
  </si>
  <si>
    <t>Shuvalska</t>
  </si>
  <si>
    <r>
      <rPr>
        <rFont val="&quot;Helvetica Neue&quot;"/>
        <color rgb="FF1155CC"/>
        <sz val="8.0"/>
        <u/>
      </rPr>
      <t>a.shuvalsky@gmail.com</t>
    </r>
  </si>
  <si>
    <t>Mike</t>
  </si>
  <si>
    <t>Sperling</t>
  </si>
  <si>
    <r>
      <rPr>
        <rFont val="&quot;Helvetica Neue&quot;"/>
        <color rgb="FF1155CC"/>
        <sz val="8.0"/>
        <u/>
      </rPr>
      <t>mike.b.sperling@gmail.com</t>
    </r>
  </si>
  <si>
    <t>Laxmitha</t>
  </si>
  <si>
    <t>Surendran</t>
  </si>
  <si>
    <r>
      <rPr>
        <rFont val="&quot;Helvetica Neue&quot;"/>
        <color rgb="FF1155CC"/>
        <sz val="8.0"/>
        <u/>
      </rPr>
      <t>laxmithasurendran@gmail.com</t>
    </r>
  </si>
  <si>
    <r>
      <rPr>
        <rFont val="&quot;Helvetica Neue&quot;"/>
        <color rgb="FF1155CC"/>
        <sz val="8.0"/>
        <u/>
      </rPr>
      <t>hab786@gmail.com</t>
    </r>
  </si>
  <si>
    <t>Aliyah</t>
  </si>
  <si>
    <t>Dolph-Sourlis</t>
  </si>
  <si>
    <r>
      <rPr>
        <rFont val="&quot;Helvetica Neue&quot;"/>
        <color rgb="FF1155CC"/>
        <sz val="8.0"/>
        <u/>
      </rPr>
      <t>sourlisaliyah2@gmsil.com</t>
    </r>
  </si>
  <si>
    <t>Kapil</t>
  </si>
  <si>
    <t>Gautam</t>
  </si>
  <si>
    <r>
      <rPr>
        <rFont val="&quot;Helvetica Neue&quot;"/>
        <color rgb="FF1155CC"/>
        <sz val="8.0"/>
        <u/>
      </rPr>
      <t>kapilgautam.192@gmail.com</t>
    </r>
  </si>
  <si>
    <t>indira</t>
  </si>
  <si>
    <t>singh</t>
  </si>
  <si>
    <r>
      <rPr>
        <rFont val="&quot;Helvetica Neue&quot;"/>
        <color rgb="FF1155CC"/>
        <sz val="8.0"/>
        <u/>
      </rPr>
      <t>iluv2suckcock@fredvictor.ca</t>
    </r>
  </si>
  <si>
    <t>416-663-3844</t>
  </si>
  <si>
    <t>Virender</t>
  </si>
  <si>
    <r>
      <rPr>
        <rFont val="&quot;Helvetica Neue&quot;"/>
        <color rgb="FF1155CC"/>
        <sz val="8.0"/>
        <u/>
      </rPr>
      <t>vdsingh1972@gmail.com</t>
    </r>
  </si>
  <si>
    <t>Audley</t>
  </si>
  <si>
    <t>Ennis</t>
  </si>
  <si>
    <r>
      <rPr>
        <rFont val="&quot;Helvetica Neue&quot;"/>
        <color rgb="FF1155CC"/>
        <sz val="8.0"/>
        <u/>
      </rPr>
      <t>audley@terroni.com</t>
    </r>
  </si>
  <si>
    <t>(647) 801-1968</t>
  </si>
  <si>
    <t>Chantale</t>
  </si>
  <si>
    <t>Johannson</t>
  </si>
  <si>
    <r>
      <rPr>
        <rFont val="&quot;Helvetica Neue&quot;"/>
        <color rgb="FF1155CC"/>
        <sz val="8.0"/>
        <u/>
      </rPr>
      <t>CHANTALE.JOHANNSON@icloud.COM</t>
    </r>
  </si>
  <si>
    <t>Ashina</t>
  </si>
  <si>
    <t>Sureshkumar</t>
  </si>
  <si>
    <r>
      <rPr>
        <rFont val="&quot;Helvetica Neue&quot;"/>
        <color rgb="FF1155CC"/>
        <sz val="8.0"/>
        <u/>
      </rPr>
      <t>Ashinasuresh@hotmail.com</t>
    </r>
  </si>
  <si>
    <t>Guirguis</t>
  </si>
  <si>
    <r>
      <rPr>
        <rFont val="&quot;Helvetica Neue&quot;"/>
        <color rgb="FF1155CC"/>
        <sz val="8.0"/>
        <u/>
      </rPr>
      <t>Joseph.e.guirguis@gmail.com</t>
    </r>
  </si>
  <si>
    <t>Cheyanne</t>
  </si>
  <si>
    <t>Downey</t>
  </si>
  <si>
    <r>
      <rPr>
        <rFont val="&quot;Helvetica Neue&quot;"/>
        <color rgb="FF1155CC"/>
        <sz val="8.0"/>
        <u/>
      </rPr>
      <t>downeycheyanne@outlook.com</t>
    </r>
  </si>
  <si>
    <t>Naomi</t>
  </si>
  <si>
    <r>
      <rPr>
        <rFont val="&quot;Helvetica Neue&quot;"/>
        <color rgb="FF1155CC"/>
        <sz val="8.0"/>
        <u/>
      </rPr>
      <t>Naomi.ahanon@hotmail.com</t>
    </r>
  </si>
  <si>
    <t>Rosine</t>
  </si>
  <si>
    <t>Kengne</t>
  </si>
  <si>
    <r>
      <rPr>
        <rFont val="&quot;Helvetica Neue&quot;"/>
        <color rgb="FF1155CC"/>
        <sz val="8.0"/>
        <u/>
      </rPr>
      <t>rosine@royalcanadianrealty.com</t>
    </r>
  </si>
  <si>
    <t>Hope</t>
  </si>
  <si>
    <t>Masika</t>
  </si>
  <si>
    <r>
      <rPr>
        <rFont val="&quot;Helvetica Neue&quot;"/>
        <color rgb="FF1155CC"/>
        <sz val="8.0"/>
        <u/>
      </rPr>
      <t>hopemsk10@gmail.com</t>
    </r>
  </si>
  <si>
    <t>Sajida</t>
  </si>
  <si>
    <t>Parveen</t>
  </si>
  <si>
    <r>
      <rPr>
        <rFont val="&quot;Helvetica Neue&quot;"/>
        <color rgb="FF1155CC"/>
        <sz val="8.0"/>
        <u/>
      </rPr>
      <t>Sajidap87@gmail.com</t>
    </r>
  </si>
  <si>
    <t>Joan</t>
  </si>
  <si>
    <t>Wilson</t>
  </si>
  <si>
    <r>
      <rPr>
        <rFont val="&quot;Helvetica Neue&quot;"/>
        <color rgb="FF1155CC"/>
        <sz val="8.0"/>
        <u/>
      </rPr>
      <t>joanrose.wilson@gmail.com</t>
    </r>
  </si>
  <si>
    <t>Kk.Persaud @hotnail.com</t>
  </si>
  <si>
    <r>
      <rPr>
        <rFont val="&quot;Helvetica Neue&quot;"/>
        <color rgb="FF1155CC"/>
        <sz val="8.0"/>
        <u/>
      </rPr>
      <t>fchrisgeorge@gmail.com</t>
    </r>
  </si>
  <si>
    <t>(647) 640-2545</t>
  </si>
  <si>
    <t>Lenny</t>
  </si>
  <si>
    <t>Laffer</t>
  </si>
  <si>
    <r>
      <rPr>
        <rFont val="&quot;Helvetica Neue&quot;"/>
        <color rgb="FF1155CC"/>
        <sz val="8.0"/>
        <u/>
      </rPr>
      <t>llaffer91@gmail.com</t>
    </r>
  </si>
  <si>
    <t>Perry</t>
  </si>
  <si>
    <t>Allen</t>
  </si>
  <si>
    <r>
      <rPr>
        <rFont val="&quot;Helvetica Neue&quot;"/>
        <color rgb="FF1155CC"/>
        <sz val="8.0"/>
        <u/>
      </rPr>
      <t>Extremecleanprofservices@gmail.com</t>
    </r>
  </si>
  <si>
    <t>Mekides</t>
  </si>
  <si>
    <t>Molla</t>
  </si>
  <si>
    <r>
      <rPr>
        <rFont val="&quot;Helvetica Neue&quot;"/>
        <color rgb="FF1155CC"/>
        <sz val="8.0"/>
        <u/>
      </rPr>
      <t>ymekdes4@gmail.com</t>
    </r>
  </si>
  <si>
    <t>Raponi</t>
  </si>
  <si>
    <r>
      <rPr>
        <rFont val="&quot;Helvetica Neue&quot;"/>
        <color rgb="FF1155CC"/>
        <sz val="8.0"/>
        <u/>
      </rPr>
      <t>chris@thesalesteam.ca</t>
    </r>
  </si>
  <si>
    <t>Andrade</t>
  </si>
  <si>
    <r>
      <rPr>
        <rFont val="&quot;Helvetica Neue&quot;"/>
        <color rgb="FF1155CC"/>
        <sz val="8.0"/>
        <u/>
      </rPr>
      <t>Samsonandrade0@gmail.com</t>
    </r>
  </si>
  <si>
    <t>Garipalla</t>
  </si>
  <si>
    <t>Siam</t>
  </si>
  <si>
    <r>
      <rPr>
        <rFont val="&quot;Helvetica Neue&quot;"/>
        <color rgb="FF1155CC"/>
        <sz val="8.0"/>
        <u/>
      </rPr>
      <t>Gsiyam@gmail.com</t>
    </r>
  </si>
  <si>
    <t>Haris</t>
  </si>
  <si>
    <t>Masood</t>
  </si>
  <si>
    <r>
      <rPr>
        <rFont val="&quot;Helvetica Neue&quot;"/>
        <color rgb="FF1155CC"/>
        <sz val="8.0"/>
        <u/>
      </rPr>
      <t>h_masood86@hotmail.com</t>
    </r>
  </si>
  <si>
    <t>Ayesha</t>
  </si>
  <si>
    <r>
      <rPr>
        <rFont val="&quot;Helvetica Neue&quot;"/>
        <color rgb="FF1155CC"/>
        <sz val="8.0"/>
        <u/>
      </rPr>
      <t>ayeshaakhan97@gmail.com</t>
    </r>
  </si>
  <si>
    <r>
      <rPr>
        <rFont val="&quot;Helvetica Neue&quot;"/>
        <color rgb="FF1155CC"/>
        <sz val="8.0"/>
        <u/>
      </rPr>
      <t>CHRISTINEWRIGHT@BELLNET.CA</t>
    </r>
  </si>
  <si>
    <t>Raheal</t>
  </si>
  <si>
    <t>Fasil</t>
  </si>
  <si>
    <r>
      <rPr>
        <rFont val="&quot;Helvetica Neue&quot;"/>
        <color rgb="FF1155CC"/>
        <sz val="8.0"/>
        <u/>
      </rPr>
      <t>rfaseal1@gmail.com</t>
    </r>
  </si>
  <si>
    <t>Abiy</t>
  </si>
  <si>
    <t>Gebru</t>
  </si>
  <si>
    <r>
      <rPr>
        <rFont val="&quot;Helvetica Neue&quot;"/>
        <color rgb="FF1155CC"/>
        <sz val="8.0"/>
        <u/>
      </rPr>
      <t>abkid003@gmail.com</t>
    </r>
  </si>
  <si>
    <t>mandana</t>
  </si>
  <si>
    <t>malekjamshidi</t>
  </si>
  <si>
    <r>
      <rPr>
        <rFont val="&quot;Helvetica Neue&quot;"/>
        <color rgb="FF1155CC"/>
        <sz val="8.0"/>
        <u/>
      </rPr>
      <t>farhang1x1@yahoo.ca</t>
    </r>
  </si>
  <si>
    <t>Carling</t>
  </si>
  <si>
    <t>Sahinovic</t>
  </si>
  <si>
    <r>
      <rPr>
        <rFont val="&quot;Helvetica Neue&quot;"/>
        <color rgb="FF1155CC"/>
        <sz val="8.0"/>
        <u/>
      </rPr>
      <t>carlingsahinovic@hotmail.com</t>
    </r>
  </si>
  <si>
    <t>seta</t>
  </si>
  <si>
    <t>man</t>
  </si>
  <si>
    <r>
      <rPr>
        <rFont val="&quot;Helvetica Neue&quot;"/>
        <color rgb="FF1155CC"/>
        <sz val="8.0"/>
        <u/>
      </rPr>
      <t>setathinks@gmail.com</t>
    </r>
  </si>
  <si>
    <t>Susan</t>
  </si>
  <si>
    <t>Coudougan</t>
  </si>
  <si>
    <r>
      <rPr>
        <rFont val="&quot;Helvetica Neue&quot;"/>
        <color rgb="FF1155CC"/>
        <sz val="8.0"/>
        <u/>
      </rPr>
      <t>merlenedelpesche55555@gmail.com</t>
    </r>
  </si>
  <si>
    <t>Ghousia</t>
  </si>
  <si>
    <t>Asif</t>
  </si>
  <si>
    <r>
      <rPr>
        <rFont val="&quot;Helvetica Neue&quot;"/>
        <color rgb="FF1155CC"/>
        <sz val="8.0"/>
        <u/>
      </rPr>
      <t>ghousia09@gmail.com</t>
    </r>
  </si>
  <si>
    <t>Tianna</t>
  </si>
  <si>
    <t>Fredenburg</t>
  </si>
  <si>
    <r>
      <rPr>
        <rFont val="&quot;Helvetica Neue&quot;"/>
        <color rgb="FF1155CC"/>
        <sz val="8.0"/>
        <u/>
      </rPr>
      <t>Tiannafredenburg201@gmail.com</t>
    </r>
  </si>
  <si>
    <t>Mary juliet Nyombi</t>
  </si>
  <si>
    <t>Nakayiza</t>
  </si>
  <si>
    <r>
      <rPr>
        <rFont val="&quot;Helvetica Neue&quot;"/>
        <color rgb="FF1155CC"/>
        <sz val="8.0"/>
        <u/>
      </rPr>
      <t>Juliyanieh@yahoo.com</t>
    </r>
  </si>
  <si>
    <t>Nagita</t>
  </si>
  <si>
    <t>Bashizada</t>
  </si>
  <si>
    <r>
      <rPr>
        <rFont val="&quot;Helvetica Neue&quot;"/>
        <color rgb="FF1155CC"/>
        <sz val="8.0"/>
        <u/>
      </rPr>
      <t>nagitabashizade@gmail.com</t>
    </r>
  </si>
  <si>
    <t>Elli</t>
  </si>
  <si>
    <t>Khosousi</t>
  </si>
  <si>
    <r>
      <rPr>
        <rFont val="&quot;Helvetica Neue&quot;"/>
        <color rgb="FF1155CC"/>
        <sz val="8.0"/>
        <u/>
      </rPr>
      <t>ekhosousi@gmail.com</t>
    </r>
  </si>
  <si>
    <t>Katerin</t>
  </si>
  <si>
    <t>Gamboa</t>
  </si>
  <si>
    <r>
      <rPr>
        <rFont val="&quot;Helvetica Neue&quot;"/>
        <color rgb="FF1155CC"/>
        <sz val="8.0"/>
        <u/>
      </rPr>
      <t>tkgamboa1993@gmail.com</t>
    </r>
  </si>
  <si>
    <t>Jignesh</t>
  </si>
  <si>
    <t>Desai</t>
  </si>
  <si>
    <r>
      <rPr>
        <rFont val="&quot;Helvetica Neue&quot;"/>
        <color rgb="FF1155CC"/>
        <sz val="8.0"/>
        <u/>
      </rPr>
      <t>desaijignesh49@gmail.com</t>
    </r>
  </si>
  <si>
    <t>Jacqueline</t>
  </si>
  <si>
    <t>Wong</t>
  </si>
  <si>
    <r>
      <rPr>
        <rFont val="&quot;Helvetica Neue&quot;"/>
        <color rgb="FF1155CC"/>
        <sz val="8.0"/>
        <u/>
      </rPr>
      <t>Jacquelinewongrealtor@gmai.com</t>
    </r>
  </si>
  <si>
    <t>Ramanathy</t>
  </si>
  <si>
    <r>
      <rPr>
        <rFont val="&quot;Helvetica Neue&quot;"/>
        <color rgb="FF1155CC"/>
        <sz val="8.0"/>
        <u/>
      </rPr>
      <t>kumarramanathy@yahoo.ca</t>
    </r>
  </si>
  <si>
    <t>Ebi</t>
  </si>
  <si>
    <t>Shidi-Spiff</t>
  </si>
  <si>
    <r>
      <rPr>
        <rFont val="&quot;Helvetica Neue&quot;"/>
        <color rgb="FF1155CC"/>
        <sz val="8.0"/>
        <u/>
      </rPr>
      <t>shidispiff@gmail.com</t>
    </r>
  </si>
  <si>
    <t>Marc</t>
  </si>
  <si>
    <t>Peloso</t>
  </si>
  <si>
    <r>
      <rPr>
        <rFont val="&quot;Helvetica Neue&quot;"/>
        <color rgb="FF1155CC"/>
        <sz val="8.0"/>
        <u/>
      </rPr>
      <t>marcpeloso5@gmail.com</t>
    </r>
  </si>
  <si>
    <t>Shanna</t>
  </si>
  <si>
    <t>Edwards</t>
  </si>
  <si>
    <r>
      <rPr>
        <rFont val="&quot;Helvetica Neue&quot;"/>
        <color rgb="FF1155CC"/>
        <sz val="8.0"/>
        <u/>
      </rPr>
      <t>yakitnahs@gmail.com</t>
    </r>
  </si>
  <si>
    <t>Devon</t>
  </si>
  <si>
    <t>Nagesan</t>
  </si>
  <si>
    <r>
      <rPr>
        <rFont val="&quot;Helvetica Neue&quot;"/>
        <color rgb="FF1155CC"/>
        <sz val="8.0"/>
        <u/>
      </rPr>
      <t>Nagesan.d.92@gmail.com</t>
    </r>
  </si>
  <si>
    <t>Ramisa</t>
  </si>
  <si>
    <t>Chowdhury</t>
  </si>
  <si>
    <r>
      <rPr>
        <rFont val="&quot;Helvetica Neue&quot;"/>
        <color rgb="FF1155CC"/>
        <sz val="8.0"/>
        <u/>
      </rPr>
      <t>ramisa.c@hotmail.ca</t>
    </r>
  </si>
  <si>
    <t>Jaspreet</t>
  </si>
  <si>
    <t>Chahal</t>
  </si>
  <si>
    <r>
      <rPr>
        <rFont val="&quot;Helvetica Neue&quot;"/>
        <color rgb="FF1155CC"/>
        <sz val="8.0"/>
        <u/>
      </rPr>
      <t>jpreetkaur98@gmail.com</t>
    </r>
  </si>
  <si>
    <t>Suraj</t>
  </si>
  <si>
    <t>Shah</t>
  </si>
  <si>
    <r>
      <rPr>
        <rFont val="&quot;Helvetica Neue&quot;"/>
        <color rgb="FF1155CC"/>
        <sz val="8.0"/>
        <u/>
      </rPr>
      <t>surajshah2215@gmail.com</t>
    </r>
  </si>
  <si>
    <t>Gonsalves</t>
  </si>
  <si>
    <r>
      <rPr>
        <rFont val="&quot;Helvetica Neue&quot;"/>
        <color rgb="FF1155CC"/>
        <sz val="8.0"/>
        <u/>
      </rPr>
      <t>info@proassist.ca</t>
    </r>
  </si>
  <si>
    <t>TOTAL LEAD COUNT</t>
  </si>
  <si>
    <t>META FORM - LEADS</t>
  </si>
  <si>
    <t>S.No</t>
  </si>
  <si>
    <t>First Name</t>
  </si>
  <si>
    <t>Last Name</t>
  </si>
  <si>
    <t>Cell Number</t>
  </si>
  <si>
    <t>Email Address</t>
  </si>
  <si>
    <t>Postal Code</t>
  </si>
  <si>
    <t>Admin@advancedalarmsltd.com</t>
  </si>
  <si>
    <t xml:space="preserve">Dyanne </t>
  </si>
  <si>
    <t>De Vera</t>
  </si>
  <si>
    <t>Apple_dkf@yahoo.com</t>
  </si>
  <si>
    <t>Hussam@11211.ca</t>
  </si>
  <si>
    <t>LaFleur</t>
  </si>
  <si>
    <t xml:space="preserve">Dublin </t>
  </si>
  <si>
    <t>dublinlafleur@gmail.com</t>
  </si>
  <si>
    <t>Tanya Brui</t>
  </si>
  <si>
    <t>Tanya.brui@gmail.com</t>
  </si>
  <si>
    <t>suguna.veerla@gmail.com</t>
  </si>
  <si>
    <t>pgill@royalcanadianrealty.com</t>
  </si>
  <si>
    <t xml:space="preserve">Ade </t>
  </si>
  <si>
    <t>Lawerence</t>
  </si>
  <si>
    <t>skayodemoses@gmail.com</t>
  </si>
  <si>
    <t>Raghu</t>
  </si>
  <si>
    <t>Ram Meduri</t>
  </si>
  <si>
    <t>raghuram.831@gmail.com</t>
  </si>
  <si>
    <t>Sanjiv</t>
  </si>
  <si>
    <t>krishnabaskaran</t>
  </si>
  <si>
    <t>sanjivkk4@gmail.com</t>
  </si>
  <si>
    <t>Domenic</t>
  </si>
  <si>
    <t>salvadore</t>
  </si>
  <si>
    <t>domenicsalvadore@gmail.com</t>
  </si>
  <si>
    <t xml:space="preserve">Ambica </t>
  </si>
  <si>
    <t>Ramamoorthy</t>
  </si>
  <si>
    <t>familyfollowups.7b@gmail.com</t>
  </si>
  <si>
    <t>Hav</t>
  </si>
  <si>
    <t>Khanna</t>
  </si>
  <si>
    <t>findmeahousehav@gmail.com</t>
  </si>
  <si>
    <t>nakhle</t>
  </si>
  <si>
    <t>elias43nakhle@gmail.com</t>
  </si>
  <si>
    <t>shakeeloneil@yahoo.com</t>
  </si>
  <si>
    <t>mik_e_mouse@msn.com</t>
  </si>
  <si>
    <t>Naglaa Abou</t>
  </si>
  <si>
    <t>Bakar</t>
  </si>
  <si>
    <t>naglaa26@hotmail.com</t>
  </si>
  <si>
    <t xml:space="preserve">Sadru </t>
  </si>
  <si>
    <t>sadru.sekander@gmail.com</t>
  </si>
  <si>
    <t>obrientheresa84@gmail.com</t>
  </si>
  <si>
    <t xml:space="preserve">Cintia </t>
  </si>
  <si>
    <t>Galamb</t>
  </si>
  <si>
    <t>istvanganko25@gmail.com</t>
  </si>
  <si>
    <t>jaydaught@gmail.com</t>
  </si>
  <si>
    <t>emiljosephpalathra23@gmail.com</t>
  </si>
  <si>
    <t>dhimiterpema@gmail.com</t>
  </si>
  <si>
    <t>denilson.fontaine@gmail.com</t>
  </si>
  <si>
    <t>edvelante@hotmail.com</t>
  </si>
  <si>
    <t>chandrikakandaiyah@icloud.com</t>
  </si>
  <si>
    <t xml:space="preserve">Leuol </t>
  </si>
  <si>
    <t>louelalunan@yahoo.com</t>
  </si>
  <si>
    <t>saleh.yafaa5124@gmail.com</t>
  </si>
  <si>
    <t>gofastexpressinc@hotmail.ca</t>
  </si>
  <si>
    <t>desjardinsjerry8@gmail.com</t>
  </si>
  <si>
    <t>t_zehra@outlookw.com</t>
  </si>
  <si>
    <t>janemerrill100@gmail.com</t>
  </si>
  <si>
    <t>perfecetimagepainting@hotmail.com</t>
  </si>
  <si>
    <t>jamie@jamiesylvester.com</t>
  </si>
  <si>
    <t>mani.kumar70@yahoo.com</t>
  </si>
  <si>
    <t>Martha Gibson</t>
  </si>
  <si>
    <t>Del Grande</t>
  </si>
  <si>
    <t>marthadelgrande@yahoo.ca</t>
  </si>
  <si>
    <t>mark Anthony</t>
  </si>
  <si>
    <t>markanthony.catubay@gmail.com</t>
  </si>
  <si>
    <t>qadirnoor87@gmail.com</t>
  </si>
  <si>
    <t>lisa-machado1@hotmail.com</t>
  </si>
  <si>
    <t>theweldongroup@rogers.com</t>
  </si>
  <si>
    <t>aab.sofia@yahoo.com</t>
  </si>
  <si>
    <t>nelma323@hotmail.com</t>
  </si>
  <si>
    <t>devinder28@hotmail.com</t>
  </si>
  <si>
    <t>jewel_sarker2004@yahoo.com</t>
  </si>
  <si>
    <t>Jeramine</t>
  </si>
  <si>
    <t>Rillo</t>
  </si>
  <si>
    <t>Jvizco@bousfield.ca</t>
  </si>
  <si>
    <t>Amith</t>
  </si>
  <si>
    <t>Chand</t>
  </si>
  <si>
    <t>chandamith@yahoo.com</t>
  </si>
  <si>
    <t>Aiman</t>
  </si>
  <si>
    <t>Youssif</t>
  </si>
  <si>
    <t>A_fawzi@hotmail.com</t>
  </si>
  <si>
    <t>Ilays</t>
  </si>
  <si>
    <t>Muhammad</t>
  </si>
  <si>
    <t>kuku1866@hotmail.com</t>
  </si>
  <si>
    <t>Ankur</t>
  </si>
  <si>
    <t>Kapur</t>
  </si>
  <si>
    <t>Preconhomescondo@gmail.com</t>
  </si>
  <si>
    <t>Betar</t>
  </si>
  <si>
    <t>Voib</t>
  </si>
  <si>
    <t>SAIFUL.ISLAMD@GMAIL.COM</t>
  </si>
  <si>
    <t>Arpit</t>
  </si>
  <si>
    <t>Javiya</t>
  </si>
  <si>
    <t>Javiyaarpit2@gmail.com</t>
  </si>
  <si>
    <t xml:space="preserve">Melissa </t>
  </si>
  <si>
    <t>Pleasance</t>
  </si>
  <si>
    <t>luvcujo@hotmail.com</t>
  </si>
  <si>
    <t>atique_designer@yahoo.ca</t>
  </si>
  <si>
    <t>shams.siddiqui@hotmail.com</t>
  </si>
  <si>
    <t>drvpsingh65@outlook.com</t>
  </si>
  <si>
    <t>Yitzak</t>
  </si>
  <si>
    <t>Nathan Thomas</t>
  </si>
  <si>
    <t>nathan@sakmet.ca</t>
  </si>
  <si>
    <t>Olsen</t>
  </si>
  <si>
    <t>steveolsen1202@gmail.com</t>
  </si>
  <si>
    <t>Atizan</t>
  </si>
  <si>
    <t>Corp</t>
  </si>
  <si>
    <t>atizancorp@gmail.com</t>
  </si>
  <si>
    <t>Hairsupply</t>
  </si>
  <si>
    <t>Elizabeth93osode@gmail.com</t>
  </si>
  <si>
    <t>Hipson</t>
  </si>
  <si>
    <t>lorson@bell.net</t>
  </si>
  <si>
    <t>Indra</t>
  </si>
  <si>
    <t>indrapersaud47@gmail.com</t>
  </si>
  <si>
    <t>Glenys</t>
  </si>
  <si>
    <t>Squires</t>
  </si>
  <si>
    <t>glenyssquires06@gmail.com</t>
  </si>
  <si>
    <t>mkcchen815@gmail.com</t>
  </si>
  <si>
    <t>Karen</t>
  </si>
  <si>
    <t>Fish</t>
  </si>
  <si>
    <t>k3pug9t@hotmail.com</t>
  </si>
  <si>
    <t>Kashif</t>
  </si>
  <si>
    <t>Amanullah</t>
  </si>
  <si>
    <t>kash_aman@yahoo.com</t>
  </si>
  <si>
    <t>Asad</t>
  </si>
  <si>
    <t>asifaasad25@gmail.com</t>
  </si>
  <si>
    <t>Ngo</t>
  </si>
  <si>
    <t>jessica-ngo@hotmail.ca</t>
  </si>
  <si>
    <t>Seyfi</t>
  </si>
  <si>
    <t>Tomar</t>
  </si>
  <si>
    <t>ceren@vanhorne.ca</t>
  </si>
  <si>
    <t>Kum</t>
  </si>
  <si>
    <t>rameshk.wins@gmail.com</t>
  </si>
  <si>
    <t>Kiran Vir</t>
  </si>
  <si>
    <t>Sahota</t>
  </si>
  <si>
    <t>kiranvirsingh@hotmail.com</t>
  </si>
  <si>
    <t>Steph</t>
  </si>
  <si>
    <t>Zizek</t>
  </si>
  <si>
    <t>stephzizek@gmail.com</t>
  </si>
  <si>
    <t>Linda</t>
  </si>
  <si>
    <t>O'Connor</t>
  </si>
  <si>
    <t>loconnor@ryan-design.com</t>
  </si>
  <si>
    <t>Nathalie</t>
  </si>
  <si>
    <t>Martineau</t>
  </si>
  <si>
    <t>martineau.nathalie@gmail.com</t>
  </si>
  <si>
    <t xml:space="preserve">Virender </t>
  </si>
  <si>
    <t>vdsingh1972@gmail.com</t>
  </si>
  <si>
    <t>audley@terroni.com</t>
  </si>
  <si>
    <t>Lesley</t>
  </si>
  <si>
    <t>Rossan</t>
  </si>
  <si>
    <t>lesley.rossan@icloud.com</t>
  </si>
  <si>
    <t>Omarajs</t>
  </si>
  <si>
    <t>Siewdass</t>
  </si>
  <si>
    <t>omarajs@yahoo.com</t>
  </si>
  <si>
    <t>Shalene</t>
  </si>
  <si>
    <t>Josephs</t>
  </si>
  <si>
    <t>neikeshajosephs@icloud.com</t>
  </si>
  <si>
    <t>Sohail</t>
  </si>
  <si>
    <t>Illyas</t>
  </si>
  <si>
    <t>sohail.deaf15@gmail.com</t>
  </si>
  <si>
    <t>Sasi</t>
  </si>
  <si>
    <t>Tharan</t>
  </si>
  <si>
    <t>skhomeagent@gmail.com</t>
  </si>
  <si>
    <t>Jorge</t>
  </si>
  <si>
    <t xml:space="preserve">Esquivel </t>
  </si>
  <si>
    <t>coquiesgo1965@gmail.com</t>
  </si>
  <si>
    <t>Barb</t>
  </si>
  <si>
    <t>Eason</t>
  </si>
  <si>
    <t>barbaraeason4242@gmail.com</t>
  </si>
  <si>
    <t xml:space="preserve">Alex </t>
  </si>
  <si>
    <t>Drabenyuk</t>
  </si>
  <si>
    <t>alexchitown.inc@gmail.com</t>
  </si>
  <si>
    <t>Marlene</t>
  </si>
  <si>
    <t>Kellar</t>
  </si>
  <si>
    <t>marlenekellar1944@gmail.com</t>
  </si>
  <si>
    <t>Baskar</t>
  </si>
  <si>
    <t>Bala</t>
  </si>
  <si>
    <r>
      <rPr>
        <rFont val="Roboto"/>
        <color rgb="FF1155CC"/>
        <u/>
      </rPr>
      <t>baskaran1982.bb</t>
    </r>
    <r>
      <rPr>
        <rFont val="Roboto"/>
        <color rgb="FF434343"/>
      </rPr>
      <t>@gmail.com</t>
    </r>
  </si>
  <si>
    <t>wais</t>
  </si>
  <si>
    <t>Rahmani</t>
  </si>
  <si>
    <t>swornlogistics@gmail.com</t>
  </si>
  <si>
    <t>Judith</t>
  </si>
  <si>
    <t>Owusu</t>
  </si>
  <si>
    <t>Twinseze@hotmail.com</t>
  </si>
  <si>
    <t xml:space="preserve">Sherry-ann </t>
  </si>
  <si>
    <t>White</t>
  </si>
  <si>
    <t>sherryannj@yahoo.ca</t>
  </si>
  <si>
    <t>Rizwan</t>
  </si>
  <si>
    <t>Bhangoo</t>
  </si>
  <si>
    <t>bhangoo786@hotmail.com</t>
  </si>
  <si>
    <t>Akshay</t>
  </si>
  <si>
    <t>Chadha</t>
  </si>
  <si>
    <t>akshaychadha2009@gmail.com</t>
  </si>
  <si>
    <t xml:space="preserve">Desiree </t>
  </si>
  <si>
    <t>Hamilton</t>
  </si>
  <si>
    <t>erocky2@hotmail.com</t>
  </si>
  <si>
    <t>Teresa</t>
  </si>
  <si>
    <t>Hamm</t>
  </si>
  <si>
    <t>thamm6@gmail.com</t>
  </si>
  <si>
    <t>Maria De Sousa</t>
  </si>
  <si>
    <t>mariadesousa@rogers.com</t>
  </si>
  <si>
    <t>Glen</t>
  </si>
  <si>
    <t>Macmillan</t>
  </si>
  <si>
    <t>glenmacmillan2567@gmail.com</t>
  </si>
  <si>
    <t>Chiasson</t>
  </si>
  <si>
    <t>jamiechiasson1985@icloud.com</t>
  </si>
  <si>
    <t>Ashour</t>
  </si>
  <si>
    <t>Zalouk</t>
  </si>
  <si>
    <t>ash.merz@hotmail.com</t>
  </si>
  <si>
    <t>Noah</t>
  </si>
  <si>
    <t>Crow</t>
  </si>
  <si>
    <t>noahaugiaq11@icloud.com</t>
  </si>
  <si>
    <t>Eva</t>
  </si>
  <si>
    <t>Nishi</t>
  </si>
  <si>
    <t>evanishi58@gmail.com</t>
  </si>
  <si>
    <t>Omolabake</t>
  </si>
  <si>
    <t>Blessing</t>
  </si>
  <si>
    <t>blessingmartins4success2018@gmail.com</t>
  </si>
  <si>
    <t>Darlene</t>
  </si>
  <si>
    <t>darbee69@hotmail.com</t>
  </si>
  <si>
    <t>Flora</t>
  </si>
  <si>
    <t>Cocker</t>
  </si>
  <si>
    <t>floracrocker56@hotmail.com</t>
  </si>
  <si>
    <t xml:space="preserve">Al </t>
  </si>
  <si>
    <t>craigal@rogers.com</t>
  </si>
  <si>
    <t>Jean Claude</t>
  </si>
  <si>
    <t>Boulanger</t>
  </si>
  <si>
    <t>ve6clb@telusplanet.net</t>
  </si>
  <si>
    <t xml:space="preserve">Unamba </t>
  </si>
  <si>
    <t>Sylvia</t>
  </si>
  <si>
    <t>sylvre18@yahoo.com</t>
  </si>
  <si>
    <t>Clayton</t>
  </si>
  <si>
    <t>Miller</t>
  </si>
  <si>
    <t>claytonbrentmiller@gmail.com</t>
  </si>
  <si>
    <t>Geneva</t>
  </si>
  <si>
    <t>Flemming</t>
  </si>
  <si>
    <t>genevaflemming@hotmail.com</t>
  </si>
  <si>
    <t>Martine</t>
  </si>
  <si>
    <t>Meynier</t>
  </si>
  <si>
    <t>martinemeunier@live.ca</t>
  </si>
  <si>
    <t>Adejonwo</t>
  </si>
  <si>
    <t>samsonmrs11@gmail.com</t>
  </si>
  <si>
    <t>Lelly</t>
  </si>
  <si>
    <t>Boaton</t>
  </si>
  <si>
    <t>kellyhunton@gmail.com</t>
  </si>
  <si>
    <t>Denis</t>
  </si>
  <si>
    <t>Cartier</t>
  </si>
  <si>
    <t>cartierdenis7@gmail.com</t>
  </si>
  <si>
    <t>Krzysztof</t>
  </si>
  <si>
    <t>staroscik</t>
  </si>
  <si>
    <t>krzystaro@icloud.com</t>
  </si>
  <si>
    <t>Alba</t>
  </si>
  <si>
    <t>Alvarez</t>
  </si>
  <si>
    <t>jaspe_alvarez@hotmail.com</t>
  </si>
  <si>
    <t>Tunstead</t>
  </si>
  <si>
    <t>joseph.1954.david@gmail.com</t>
  </si>
  <si>
    <t>Davis</t>
  </si>
  <si>
    <t>j87823047@gmail.com</t>
  </si>
  <si>
    <t>Sharon</t>
  </si>
  <si>
    <t>Fraser</t>
  </si>
  <si>
    <t>sharonalicefraser@gmail.com</t>
  </si>
  <si>
    <t>Annette</t>
  </si>
  <si>
    <t>Imler</t>
  </si>
  <si>
    <t>annetteimler@gmail.com</t>
  </si>
  <si>
    <t>Cynthia</t>
  </si>
  <si>
    <t>Johnson</t>
  </si>
  <si>
    <t>chj6263@gmail.com</t>
  </si>
  <si>
    <t xml:space="preserve">Khayol </t>
  </si>
  <si>
    <t>Yusuf</t>
  </si>
  <si>
    <t>khayolyusuf5@gmail.com</t>
  </si>
  <si>
    <t>Santina</t>
  </si>
  <si>
    <t>Francescutto</t>
  </si>
  <si>
    <t>34santina@gmail.com</t>
  </si>
  <si>
    <t>Sandra</t>
  </si>
  <si>
    <t>Couloufis</t>
  </si>
  <si>
    <t>scouloufis@gmail.com</t>
  </si>
  <si>
    <t>Nancy</t>
  </si>
  <si>
    <t>Crookedneck</t>
  </si>
  <si>
    <t>nancycrookedneck@icloud.com</t>
  </si>
  <si>
    <t>Ramie</t>
  </si>
  <si>
    <t>Acaraeg</t>
  </si>
  <si>
    <t>ramiepas2rin@gmail.com</t>
  </si>
  <si>
    <t>Vlachos</t>
  </si>
  <si>
    <t>6413vlachos@gmail.com</t>
  </si>
  <si>
    <t xml:space="preserve">Maria </t>
  </si>
  <si>
    <t>Heafy</t>
  </si>
  <si>
    <t>mrsheafy@hotmail.com</t>
  </si>
  <si>
    <t>Kenneth</t>
  </si>
  <si>
    <t>Boake</t>
  </si>
  <si>
    <t>boakie40@gmail.com</t>
  </si>
  <si>
    <t>Lorne</t>
  </si>
  <si>
    <t>Nystrom</t>
  </si>
  <si>
    <t>lorne.nystorm1@gmail.com</t>
  </si>
  <si>
    <t>Wright</t>
  </si>
  <si>
    <t>wrighteva2@gmail.com</t>
  </si>
  <si>
    <t>De Etta</t>
  </si>
  <si>
    <t>Caldwell</t>
  </si>
  <si>
    <t>deetta985@gmail.com</t>
  </si>
  <si>
    <t>Aleena</t>
  </si>
  <si>
    <t>Hasanzada</t>
  </si>
  <si>
    <t>wamiqhasanzada@yahoo.ca</t>
  </si>
  <si>
    <t>Juro</t>
  </si>
  <si>
    <t>Coric</t>
  </si>
  <si>
    <t>hippiecoric@gmail.com</t>
  </si>
  <si>
    <t>Poubelle</t>
  </si>
  <si>
    <t>Moment</t>
  </si>
  <si>
    <t>gogoboy@hotmail.com</t>
  </si>
  <si>
    <t>Laszlo</t>
  </si>
  <si>
    <t>Szoke</t>
  </si>
  <si>
    <t>libbre@yahoo.com</t>
  </si>
  <si>
    <t>Janice</t>
  </si>
  <si>
    <t>McClelland</t>
  </si>
  <si>
    <t>mccleljc@gmail.com</t>
  </si>
  <si>
    <t>Deanna</t>
  </si>
  <si>
    <t>Hebert</t>
  </si>
  <si>
    <t>deanna.hebert9@icloud.com</t>
  </si>
  <si>
    <t>Ara</t>
  </si>
  <si>
    <t>Kartasoghian</t>
  </si>
  <si>
    <t>kartasoghian@gmail.com</t>
  </si>
  <si>
    <t>Esther</t>
  </si>
  <si>
    <t>Mpwa</t>
  </si>
  <si>
    <t>mpwaesther447@gmail.com</t>
  </si>
  <si>
    <t>Mabeth</t>
  </si>
  <si>
    <t>Smith</t>
  </si>
  <si>
    <t>mabethsmith2@gmail.com</t>
  </si>
  <si>
    <t>Manh Than</t>
  </si>
  <si>
    <t>Nguyen</t>
  </si>
  <si>
    <t>bri36@hotmail.com</t>
  </si>
  <si>
    <t>Renu</t>
  </si>
  <si>
    <t>renuka.kunald@icloud.com</t>
  </si>
  <si>
    <t>Velda</t>
  </si>
  <si>
    <t>Noseworthy</t>
  </si>
  <si>
    <t>veldanoseworthy1@gmail.com</t>
  </si>
  <si>
    <t xml:space="preserve">Garry </t>
  </si>
  <si>
    <t>Wagstaff</t>
  </si>
  <si>
    <t>rag69bird@yahoo.ca</t>
  </si>
  <si>
    <t>josephndouanla@gmail.com</t>
  </si>
  <si>
    <t>Doris-Ursula</t>
  </si>
  <si>
    <t>Dettmers</t>
  </si>
  <si>
    <t>dorisu.dettmers@gmail.com</t>
  </si>
  <si>
    <t>Robert</t>
  </si>
  <si>
    <t>Larcher</t>
  </si>
  <si>
    <t>robert_larcher@hotmail.ca</t>
  </si>
  <si>
    <t>Layne</t>
  </si>
  <si>
    <t>Cheng</t>
  </si>
  <si>
    <t>laynecheng1986@gmail.com</t>
  </si>
  <si>
    <t>Poirier</t>
  </si>
  <si>
    <t>elizabethpoirier357@yahoo.com</t>
  </si>
  <si>
    <t>Fernande</t>
  </si>
  <si>
    <t>Deschenes</t>
  </si>
  <si>
    <t>fernande1@videotron.ca</t>
  </si>
  <si>
    <t>Bernes Baldock</t>
  </si>
  <si>
    <t>bernicebaldock.bb@gmail.com</t>
  </si>
  <si>
    <t>Johnny</t>
  </si>
  <si>
    <t>Boone</t>
  </si>
  <si>
    <t>sirjb649@gmail.com</t>
  </si>
  <si>
    <t>yahaya</t>
  </si>
  <si>
    <t>bayus.ouattara@gmail.com</t>
  </si>
  <si>
    <t>Tom</t>
  </si>
  <si>
    <t>Knickle</t>
  </si>
  <si>
    <t>tknickle@live.ca</t>
  </si>
  <si>
    <t>Teresita</t>
  </si>
  <si>
    <t>Medina</t>
  </si>
  <si>
    <t>teresitaesguerra172@gmail.com</t>
  </si>
  <si>
    <t>Aboozar</t>
  </si>
  <si>
    <t>Shirzad</t>
  </si>
  <si>
    <t>abuzarshirzad@yahoo.com</t>
  </si>
  <si>
    <t>Candace</t>
  </si>
  <si>
    <t>Butler</t>
  </si>
  <si>
    <t>mushubutler@gmail.com</t>
  </si>
  <si>
    <t>Tara</t>
  </si>
  <si>
    <t>Biscope</t>
  </si>
  <si>
    <t>lilq01@hotmail.com</t>
  </si>
  <si>
    <t>Rene</t>
  </si>
  <si>
    <t>Murio</t>
  </si>
  <si>
    <t>renemurio@yahoo.ca</t>
  </si>
  <si>
    <t>Huebnerleonard</t>
  </si>
  <si>
    <t>lhlhlhlhl2017@gmail.com</t>
  </si>
  <si>
    <t>Tyronne</t>
  </si>
  <si>
    <t>Grigson</t>
  </si>
  <si>
    <t>tafgrigson@hotmail.com</t>
  </si>
  <si>
    <t>Hjelmeland</t>
  </si>
  <si>
    <t>casskay03@hotmail.com</t>
  </si>
  <si>
    <t>Noella</t>
  </si>
  <si>
    <t>Gravel</t>
  </si>
  <si>
    <t>noella.larose@hotmail.com</t>
  </si>
  <si>
    <t>Sal</t>
  </si>
  <si>
    <t>Memnook</t>
  </si>
  <si>
    <t>memnook1086@yahoo.com</t>
  </si>
  <si>
    <t>Aldeo Albertine</t>
  </si>
  <si>
    <t>Collette</t>
  </si>
  <si>
    <t>aldeoalbertine@gmail.com</t>
  </si>
  <si>
    <t>Anne</t>
  </si>
  <si>
    <t>annedesjardins726@gmail.com</t>
  </si>
  <si>
    <t>Gauvin</t>
  </si>
  <si>
    <t>Luc</t>
  </si>
  <si>
    <t>lucgauvin4@gmail.com</t>
  </si>
  <si>
    <t>nomadking56@gmail.com</t>
  </si>
  <si>
    <t xml:space="preserve">Terry </t>
  </si>
  <si>
    <t>terrychiasson54@gmail.com</t>
  </si>
  <si>
    <t>Jamieson</t>
  </si>
  <si>
    <t>janejamieson8@gmail.com</t>
  </si>
  <si>
    <t xml:space="preserve">Syed </t>
  </si>
  <si>
    <t>786irfan786@gmail.com</t>
  </si>
  <si>
    <t>Danielle</t>
  </si>
  <si>
    <t>Fetland</t>
  </si>
  <si>
    <t>danielleferland100@gmail.com</t>
  </si>
  <si>
    <t>Jm</t>
  </si>
  <si>
    <t>Lauzon</t>
  </si>
  <si>
    <t>Jeanmarclauzon99@gmail.com</t>
  </si>
  <si>
    <t xml:space="preserve">Tocha </t>
  </si>
  <si>
    <t>Kialunda</t>
  </si>
  <si>
    <t>antoniokialundaantonio@gmail.com</t>
  </si>
  <si>
    <t xml:space="preserve">Lisette </t>
  </si>
  <si>
    <t>Poulin</t>
  </si>
  <si>
    <t>lisette.poulin@hotmail.ca</t>
  </si>
  <si>
    <t>Pauline</t>
  </si>
  <si>
    <t>Jackson</t>
  </si>
  <si>
    <t>paulinejackson@rogers.com</t>
  </si>
  <si>
    <t>Paolo</t>
  </si>
  <si>
    <t>Ferraro</t>
  </si>
  <si>
    <t>alof@hotmail.it</t>
  </si>
  <si>
    <t>Roberto</t>
  </si>
  <si>
    <t>Yeguez</t>
  </si>
  <si>
    <t>mechaniquedavince@gmail.com</t>
  </si>
  <si>
    <t>Lana</t>
  </si>
  <si>
    <t>Dorward</t>
  </si>
  <si>
    <t>lndorward20@gmail.com</t>
  </si>
  <si>
    <t>Francine</t>
  </si>
  <si>
    <t>Lavoie</t>
  </si>
  <si>
    <t>francinechatonne@gmail.com</t>
  </si>
  <si>
    <t>Mauricio</t>
  </si>
  <si>
    <t>inecastromaria@hotmail.com</t>
  </si>
  <si>
    <t>Dominador</t>
  </si>
  <si>
    <t>Almeron</t>
  </si>
  <si>
    <t>domingoalmeron6@gmail.com</t>
  </si>
  <si>
    <t xml:space="preserve">Olga </t>
  </si>
  <si>
    <t>Khakhoula</t>
  </si>
  <si>
    <t>okhakhoula@gmail.com</t>
  </si>
  <si>
    <t>Baiden-Gyan</t>
  </si>
  <si>
    <t>baidengyan95@gmail.com</t>
  </si>
  <si>
    <t xml:space="preserve">Drew </t>
  </si>
  <si>
    <t>drewjallen@outlook.com</t>
  </si>
  <si>
    <t>Bette</t>
  </si>
  <si>
    <t>Sitler</t>
  </si>
  <si>
    <t>besitler@gmail.com</t>
  </si>
  <si>
    <t>Barbara</t>
  </si>
  <si>
    <t>Capson</t>
  </si>
  <si>
    <t>eblackmore52@gmail.com</t>
  </si>
  <si>
    <t>Sara Carriere</t>
  </si>
  <si>
    <t>Pelletier</t>
  </si>
  <si>
    <t>carrieresara@hotmail.com</t>
  </si>
  <si>
    <t>Gayle</t>
  </si>
  <si>
    <t>Hollingshead</t>
  </si>
  <si>
    <t>sweetsecyme33@hotmail.com</t>
  </si>
  <si>
    <t>Terri</t>
  </si>
  <si>
    <t>Webster</t>
  </si>
  <si>
    <t>terriwebster16@hotmail.com</t>
  </si>
  <si>
    <t>Legge</t>
  </si>
  <si>
    <t>paulinedave.stlucia@hotmail.com</t>
  </si>
  <si>
    <t>Harsh</t>
  </si>
  <si>
    <t>Na</t>
  </si>
  <si>
    <t>harshna2660@gmail.com</t>
  </si>
  <si>
    <t>Tiliane</t>
  </si>
  <si>
    <t>Fosso</t>
  </si>
  <si>
    <t>letitiankonguemfosso@gmail.com</t>
  </si>
  <si>
    <t xml:space="preserve">Luis </t>
  </si>
  <si>
    <t>Jallade</t>
  </si>
  <si>
    <t>jallade1@yahoo.com</t>
  </si>
  <si>
    <t>Manpreet</t>
  </si>
  <si>
    <t>Giran</t>
  </si>
  <si>
    <t>itsmanpreetgiran@gmail.com</t>
  </si>
  <si>
    <t>Bernadette</t>
  </si>
  <si>
    <t>Anaka</t>
  </si>
  <si>
    <t>anakabrett5@gmail.com</t>
  </si>
  <si>
    <t>Champigny</t>
  </si>
  <si>
    <t>bchamp858@live.com</t>
  </si>
  <si>
    <t>Aurora</t>
  </si>
  <si>
    <t>gayeski</t>
  </si>
  <si>
    <t>agayeski@gmail.com</t>
  </si>
  <si>
    <t>Sztulwaark</t>
  </si>
  <si>
    <t>esther1@mts.net</t>
  </si>
  <si>
    <t>Betty</t>
  </si>
  <si>
    <t>Birney</t>
  </si>
  <si>
    <t>selsaive2@outlook.com</t>
  </si>
  <si>
    <t xml:space="preserve">Ceirra </t>
  </si>
  <si>
    <t>William</t>
  </si>
  <si>
    <t>ceirrawilliam859@gmail.com</t>
  </si>
  <si>
    <t>Steve W</t>
  </si>
  <si>
    <t>Kenney</t>
  </si>
  <si>
    <t>stevewkenny@gmail.com</t>
  </si>
  <si>
    <t>Diane</t>
  </si>
  <si>
    <t>Coutu</t>
  </si>
  <si>
    <t>d.coutu54@gmail.com</t>
  </si>
  <si>
    <t>Amber</t>
  </si>
  <si>
    <t>Mcgrath</t>
  </si>
  <si>
    <t>nanaimopunk.amber@gmail.com</t>
  </si>
  <si>
    <t>Best</t>
  </si>
  <si>
    <t>jmbhkbest.jb@gmail.com</t>
  </si>
  <si>
    <t>Penny</t>
  </si>
  <si>
    <t>Kenington</t>
  </si>
  <si>
    <t>pennykenington@gmail.com</t>
  </si>
  <si>
    <t xml:space="preserve">Marilyn </t>
  </si>
  <si>
    <t>Baxter</t>
  </si>
  <si>
    <t>mbaxter@cogeco.ca</t>
  </si>
  <si>
    <t>Zwicker</t>
  </si>
  <si>
    <t>84zwicker@gmail.com</t>
  </si>
  <si>
    <t>Mahesh</t>
  </si>
  <si>
    <t>Nagpal</t>
  </si>
  <si>
    <t xml:space="preserve">mk0831346@gmail.com </t>
  </si>
  <si>
    <t>Jean-Marc</t>
  </si>
  <si>
    <t>Cote</t>
  </si>
  <si>
    <t>cotejeanmarc74@gmail.com</t>
  </si>
  <si>
    <t>Ray</t>
  </si>
  <si>
    <t>Parsons</t>
  </si>
  <si>
    <t>rayparson0304@gmail.com</t>
  </si>
  <si>
    <t>Abran</t>
  </si>
  <si>
    <t>barbaraabran@outlook.com</t>
  </si>
  <si>
    <t>Ted</t>
  </si>
  <si>
    <t>Adams</t>
  </si>
  <si>
    <t>tedadams668@gmail.com</t>
  </si>
  <si>
    <t>Serge</t>
  </si>
  <si>
    <t>Thibeault</t>
  </si>
  <si>
    <t>bouchardmichel735@gmail.com</t>
  </si>
  <si>
    <t>Milton</t>
  </si>
  <si>
    <t>nancypdoe@hotmail.com</t>
  </si>
  <si>
    <t>Annie</t>
  </si>
  <si>
    <t>Blanchard</t>
  </si>
  <si>
    <t xml:space="preserve">anniedaisy1973@gmail.com </t>
  </si>
  <si>
    <t xml:space="preserve">Лавінська </t>
  </si>
  <si>
    <t>Тетяна</t>
  </si>
  <si>
    <t>tetiana99bizhok@gmail.com</t>
  </si>
  <si>
    <t>Fiona</t>
  </si>
  <si>
    <t>Clacken</t>
  </si>
  <si>
    <t>fifi197358@gmail.com</t>
  </si>
  <si>
    <t>Ian</t>
  </si>
  <si>
    <t>Mak</t>
  </si>
  <si>
    <t>imak777@yahoo.com</t>
  </si>
  <si>
    <t>Renae</t>
  </si>
  <si>
    <t>Kaylee</t>
  </si>
  <si>
    <t>kayleewollenhaupt@gmail.com</t>
  </si>
  <si>
    <t>Deborah</t>
  </si>
  <si>
    <t>Chouinard</t>
  </si>
  <si>
    <t>debchouinard@sasktel.net</t>
  </si>
  <si>
    <t>Vicky</t>
  </si>
  <si>
    <t>Kotar</t>
  </si>
  <si>
    <t>vicky_kotar@icloud.com</t>
  </si>
  <si>
    <t>Philippe</t>
  </si>
  <si>
    <t>Mallet</t>
  </si>
  <si>
    <t>philmallet79@gmail.com</t>
  </si>
  <si>
    <t>Brenda</t>
  </si>
  <si>
    <t>Hunter</t>
  </si>
  <si>
    <t>calebsgamma@hotmail.com</t>
  </si>
  <si>
    <t>Aime</t>
  </si>
  <si>
    <t>Bakani</t>
  </si>
  <si>
    <t>Vanessamuzandu1@gmail.com</t>
  </si>
  <si>
    <t>Bongani</t>
  </si>
  <si>
    <t>Nyoni</t>
  </si>
  <si>
    <t>bau.ln1971@gmail.com</t>
  </si>
  <si>
    <t>Desere</t>
  </si>
  <si>
    <t>Makaroff</t>
  </si>
  <si>
    <t>Deseremakaroff@gmail.com</t>
  </si>
  <si>
    <t>Paradis</t>
  </si>
  <si>
    <t>shuriknqc@hotmail.fr</t>
  </si>
  <si>
    <t>Mand</t>
  </si>
  <si>
    <t>kamalmand125@gmail.com</t>
  </si>
  <si>
    <t>Wendy</t>
  </si>
  <si>
    <t>Bott</t>
  </si>
  <si>
    <t>1959.wndybott@gmail.com</t>
  </si>
  <si>
    <t>Aristide</t>
  </si>
  <si>
    <t>Kwizera</t>
  </si>
  <si>
    <t>are2028@yahoo.fr</t>
  </si>
  <si>
    <t>Faubert</t>
  </si>
  <si>
    <t>lise.faubert@cgocable.ca</t>
  </si>
  <si>
    <t>Jashanpreet</t>
  </si>
  <si>
    <t>Sidhu</t>
  </si>
  <si>
    <t>Jashanpreet.hassanpur@gmail.com</t>
  </si>
  <si>
    <t>Olha</t>
  </si>
  <si>
    <t>Varyshko</t>
  </si>
  <si>
    <t>Varyshkoo@gmail.com</t>
  </si>
  <si>
    <t>Varinder</t>
  </si>
  <si>
    <t>NIrmaan</t>
  </si>
  <si>
    <t>varindernirman85@gmail.com</t>
  </si>
  <si>
    <t>Chard</t>
  </si>
  <si>
    <t>glen.chard@gchs.ca</t>
  </si>
  <si>
    <t>Madeleine</t>
  </si>
  <si>
    <t>Bourget</t>
  </si>
  <si>
    <t>bourgetmadeleine7@gmail.com</t>
  </si>
  <si>
    <t>Lori</t>
  </si>
  <si>
    <t>Gullison</t>
  </si>
  <si>
    <t>lorileegullison@gmail.com</t>
  </si>
  <si>
    <t>Brigitte</t>
  </si>
  <si>
    <t>Lebouthillier</t>
  </si>
  <si>
    <t>brigittelebouthillier@hotmail.com</t>
  </si>
  <si>
    <t>Gabby</t>
  </si>
  <si>
    <t>Sarafian</t>
  </si>
  <si>
    <t>gabbysarafian@gmail.com</t>
  </si>
  <si>
    <t>Debbie</t>
  </si>
  <si>
    <t>Woodworth</t>
  </si>
  <si>
    <t>debbiewoodworth2016@yahoo.ca</t>
  </si>
  <si>
    <t>Pearle</t>
  </si>
  <si>
    <t>Pearlejim@gmail.com</t>
  </si>
  <si>
    <t xml:space="preserve">may </t>
  </si>
  <si>
    <t>may.l.m@hotmail.com</t>
  </si>
  <si>
    <t xml:space="preserve">Bill </t>
  </si>
  <si>
    <t>Edgar</t>
  </si>
  <si>
    <t>oldsalt5454@gmail.com</t>
  </si>
  <si>
    <t>Shelley</t>
  </si>
  <si>
    <t>Matches</t>
  </si>
  <si>
    <t>smatchess_15@icloud.com</t>
  </si>
  <si>
    <t>Adrienne</t>
  </si>
  <si>
    <t>Goulet</t>
  </si>
  <si>
    <t>adrimimi42@hotmail.ca</t>
  </si>
  <si>
    <t xml:space="preserve">Daniel </t>
  </si>
  <si>
    <t>Francoeur</t>
  </si>
  <si>
    <t>Francoeurdaniel58@gmail.com</t>
  </si>
  <si>
    <t>Charity</t>
  </si>
  <si>
    <t>Dmytruk</t>
  </si>
  <si>
    <t>charity2083@icloud.com</t>
  </si>
  <si>
    <t>Clair</t>
  </si>
  <si>
    <t>Mccabe</t>
  </si>
  <si>
    <t>mccabeclair0@gmail.com</t>
  </si>
  <si>
    <t>Earl</t>
  </si>
  <si>
    <t xml:space="preserve">Flaman </t>
  </si>
  <si>
    <t>earlflaman@gmail.com</t>
  </si>
  <si>
    <t>Bevery</t>
  </si>
  <si>
    <t>Stafford</t>
  </si>
  <si>
    <t>beverlysulz5@gmail.com</t>
  </si>
  <si>
    <t>Yolande</t>
  </si>
  <si>
    <t>Chabot</t>
  </si>
  <si>
    <t>yolandechabot12@gmail.com</t>
  </si>
  <si>
    <t>Brown</t>
  </si>
  <si>
    <t>kb8492242@gmail.com</t>
  </si>
  <si>
    <t>Joanne</t>
  </si>
  <si>
    <t>Hennebury</t>
  </si>
  <si>
    <t>jhennebury@eastlink.ca</t>
  </si>
  <si>
    <t>sharynking17@gmail.com</t>
  </si>
  <si>
    <t>Lafontaine</t>
  </si>
  <si>
    <t>ricklaf_53@hotmail.com</t>
  </si>
  <si>
    <t xml:space="preserve">Marion </t>
  </si>
  <si>
    <t>Tarso</t>
  </si>
  <si>
    <t>marionirene68@gmail.com</t>
  </si>
  <si>
    <t>Real</t>
  </si>
  <si>
    <t>Boisjoli</t>
  </si>
  <si>
    <t>Real.Boisjoli@cgo.cable</t>
  </si>
  <si>
    <t>Aicha</t>
  </si>
  <si>
    <t>aicha.camaraconakry2022@gmail.com</t>
  </si>
  <si>
    <t>Ann Walker</t>
  </si>
  <si>
    <t>barbwalk2015@yahoo.ca</t>
  </si>
  <si>
    <t xml:space="preserve">Jasenka </t>
  </si>
  <si>
    <t>Snajdar</t>
  </si>
  <si>
    <t>jasenkaneda@gmail.com</t>
  </si>
  <si>
    <t>Corkum</t>
  </si>
  <si>
    <t>tomcorkum1956@gmail.com</t>
  </si>
  <si>
    <t>Rachel</t>
  </si>
  <si>
    <t>Creighton</t>
  </si>
  <si>
    <t>linaizzy1719@gmail.com</t>
  </si>
  <si>
    <t>Patricia</t>
  </si>
  <si>
    <t>1952mrs911@gmail.com</t>
  </si>
  <si>
    <t>Dave</t>
  </si>
  <si>
    <t>English</t>
  </si>
  <si>
    <t>elindsay2@cogeco.ca</t>
  </si>
  <si>
    <t>Gaetan</t>
  </si>
  <si>
    <t>Lecourt</t>
  </si>
  <si>
    <t>glecourt@videotron.ca</t>
  </si>
  <si>
    <t>Bibi</t>
  </si>
  <si>
    <t>Jp</t>
  </si>
  <si>
    <t>adolphine@gmx.com</t>
  </si>
  <si>
    <t>Katona</t>
  </si>
  <si>
    <t>oldoldoldbuzzard@gmail.com</t>
  </si>
  <si>
    <t>Rhonda</t>
  </si>
  <si>
    <t>Mclean</t>
  </si>
  <si>
    <t>parker1eve2@gmail.com</t>
  </si>
  <si>
    <t>Annarose</t>
  </si>
  <si>
    <t>Cameron</t>
  </si>
  <si>
    <t>annawillu@msn.com</t>
  </si>
  <si>
    <t>Mona</t>
  </si>
  <si>
    <t>Dionne</t>
  </si>
  <si>
    <t>monalevesque@hotmail.com</t>
  </si>
  <si>
    <t>Rivera</t>
  </si>
  <si>
    <t>robertrivera28@yahoo.com</t>
  </si>
  <si>
    <t>Lingam</t>
  </si>
  <si>
    <t>Ganeshahomes@hotmail.com</t>
  </si>
  <si>
    <t>Claudette</t>
  </si>
  <si>
    <t>Tessier</t>
  </si>
  <si>
    <t>claudette194102@gmail.com</t>
  </si>
  <si>
    <t>Sami</t>
  </si>
  <si>
    <t>Habeshawi</t>
  </si>
  <si>
    <t>semereg2012@gmail.com</t>
  </si>
  <si>
    <t>Nikki</t>
  </si>
  <si>
    <t>Larsen</t>
  </si>
  <si>
    <t>nikki.larsen@sasktel.net</t>
  </si>
  <si>
    <t>Horn</t>
  </si>
  <si>
    <t>horn._robert1@icloud.com</t>
  </si>
  <si>
    <t>Bryan</t>
  </si>
  <si>
    <t>Guiboche</t>
  </si>
  <si>
    <t>bryan.guiboche@icloud.com</t>
  </si>
  <si>
    <t>Arlene</t>
  </si>
  <si>
    <t>Woodman</t>
  </si>
  <si>
    <t>amwoodman55@gmail.com</t>
  </si>
  <si>
    <t>Liberty</t>
  </si>
  <si>
    <t>anna_jaworek@hotmail.com</t>
  </si>
  <si>
    <t>Tasha</t>
  </si>
  <si>
    <t>Cimmerer</t>
  </si>
  <si>
    <t>xena_rough@hotmail.com</t>
  </si>
  <si>
    <t>Jake</t>
  </si>
  <si>
    <t>Strang</t>
  </si>
  <si>
    <t>jakestrang23@gmail.com</t>
  </si>
  <si>
    <t>Fahim</t>
  </si>
  <si>
    <t>Zaman</t>
  </si>
  <si>
    <t>zamanfz.z@gmail.com</t>
  </si>
  <si>
    <t>Freile</t>
  </si>
  <si>
    <t>Acosta</t>
  </si>
  <si>
    <t>margarita_freile@yahoo.com</t>
  </si>
  <si>
    <t>Lulu</t>
  </si>
  <si>
    <t>Mac</t>
  </si>
  <si>
    <t>lamyae119@hotmail.fr</t>
  </si>
  <si>
    <t>Louise</t>
  </si>
  <si>
    <t>LeBlanc</t>
  </si>
  <si>
    <t>Louiseamy2008@icloud.ocm</t>
  </si>
  <si>
    <t>Dianne</t>
  </si>
  <si>
    <t>Rideout</t>
  </si>
  <si>
    <t>rideoutdianne@gmail.com</t>
  </si>
  <si>
    <t>Nizar</t>
  </si>
  <si>
    <t>Ss</t>
  </si>
  <si>
    <t>nizarinfo@yahoo.fr</t>
  </si>
  <si>
    <t xml:space="preserve">Carolyn </t>
  </si>
  <si>
    <t>Zirbser</t>
  </si>
  <si>
    <t>19zirbcar@gmail.com</t>
  </si>
  <si>
    <t>Ugochinyere</t>
  </si>
  <si>
    <t>Chichi</t>
  </si>
  <si>
    <t>dorisabazie@gmail.com</t>
  </si>
  <si>
    <t>Carol</t>
  </si>
  <si>
    <t>Biro</t>
  </si>
  <si>
    <t>carolbiro4303@gmail.com</t>
  </si>
  <si>
    <t>Deep</t>
  </si>
  <si>
    <t>deepbrar2704@gmail.com</t>
  </si>
  <si>
    <t>Tamar</t>
  </si>
  <si>
    <t xml:space="preserve">Hagop </t>
  </si>
  <si>
    <t>tamar-62@hotmail.com</t>
  </si>
  <si>
    <t>Bev</t>
  </si>
  <si>
    <t>Pearson</t>
  </si>
  <si>
    <t>pearsonb73@gmail.com</t>
  </si>
  <si>
    <t>Simran</t>
  </si>
  <si>
    <t>simrandeepsimran6@gmail.com</t>
  </si>
  <si>
    <t>Mcmanus</t>
  </si>
  <si>
    <t>grahammcmanus2@gmail.com</t>
  </si>
  <si>
    <t>Kayla</t>
  </si>
  <si>
    <t>kaylascott4224@gmail.com</t>
  </si>
  <si>
    <t>Denise</t>
  </si>
  <si>
    <t>Pellerin</t>
  </si>
  <si>
    <t>pellerindenise4@gmail.com</t>
  </si>
  <si>
    <t>Ingrid</t>
  </si>
  <si>
    <t>Manoosingh</t>
  </si>
  <si>
    <t>idmradhay@gmail.com</t>
  </si>
  <si>
    <t>Donna</t>
  </si>
  <si>
    <t>Bartley</t>
  </si>
  <si>
    <t>donnabartley311@gmail.com</t>
  </si>
  <si>
    <t>Vernon</t>
  </si>
  <si>
    <t>Mcculloch</t>
  </si>
  <si>
    <t>vernjmcculloch@gmail.com</t>
  </si>
  <si>
    <t>Savage</t>
  </si>
  <si>
    <t>jp_savage@hotmail.com</t>
  </si>
  <si>
    <t>Stephanie</t>
  </si>
  <si>
    <t>Knott</t>
  </si>
  <si>
    <t>kan_kas@yahoo.com</t>
  </si>
  <si>
    <t>Helen</t>
  </si>
  <si>
    <t>Kotylak</t>
  </si>
  <si>
    <t>helen.kotylak@sasktek.net</t>
  </si>
  <si>
    <t>Shirley</t>
  </si>
  <si>
    <t>Kiyan</t>
  </si>
  <si>
    <t>19shirleykiyan51@gmail.com</t>
  </si>
  <si>
    <t>Uttam</t>
  </si>
  <si>
    <t>Neupane</t>
  </si>
  <si>
    <t>Uttamneupanevai@gmail.com</t>
  </si>
  <si>
    <t>Simpson</t>
  </si>
  <si>
    <t>Simpsonkaylee05@icloud.com</t>
  </si>
  <si>
    <t>Long</t>
  </si>
  <si>
    <t>long.danielle77@gmail.com</t>
  </si>
  <si>
    <t>Jody</t>
  </si>
  <si>
    <t>Couvrette</t>
  </si>
  <si>
    <t>jbjcouvrette@hotmail.com</t>
  </si>
  <si>
    <t>judithbrown64@gmail.com</t>
  </si>
  <si>
    <t>Green</t>
  </si>
  <si>
    <t>nancymariegreen@gmail.com</t>
  </si>
  <si>
    <t>Iris</t>
  </si>
  <si>
    <t>Lozinsky</t>
  </si>
  <si>
    <t>i.loz@sasktel.net</t>
  </si>
  <si>
    <t>Sue</t>
  </si>
  <si>
    <t>Suepatrick6254@gmail.com</t>
  </si>
  <si>
    <t>Andrews</t>
  </si>
  <si>
    <t>crussandrews@gmail.com</t>
  </si>
  <si>
    <t>Malenfant</t>
  </si>
  <si>
    <t>jonathanlovechels2021@gmail.com</t>
  </si>
  <si>
    <t>Messenger</t>
  </si>
  <si>
    <t>messengersharon@gmail.com</t>
  </si>
  <si>
    <t>Victoria</t>
  </si>
  <si>
    <t>Aanuoluwapo</t>
  </si>
  <si>
    <t>victoria.okerinde@gmail.com</t>
  </si>
  <si>
    <t>heberling</t>
  </si>
  <si>
    <t>cheddacheese@shaw.cs</t>
  </si>
  <si>
    <t>Mercado</t>
  </si>
  <si>
    <t>loresamer.02@gmail.com</t>
  </si>
  <si>
    <t>Fitzgerald</t>
  </si>
  <si>
    <t>karenthibodeau12@gmail.com</t>
  </si>
  <si>
    <t>Jocelyne</t>
  </si>
  <si>
    <t>Ouellette</t>
  </si>
  <si>
    <t>ouellettejocelyne04@gmail.com</t>
  </si>
  <si>
    <t>Reimer</t>
  </si>
  <si>
    <t>louisereim@gmail.com</t>
  </si>
  <si>
    <t>Ako Arrey</t>
  </si>
  <si>
    <t>arreyhannah26@gmail.com</t>
  </si>
  <si>
    <t>Ritto</t>
  </si>
  <si>
    <t>Tomy</t>
  </si>
  <si>
    <t>ritto87@gmail.com</t>
  </si>
  <si>
    <t>Ashley</t>
  </si>
  <si>
    <t>ashsn0708@gmail.com</t>
  </si>
  <si>
    <t>Marty Anderson</t>
  </si>
  <si>
    <t>martlind55@hotmail.ca</t>
  </si>
  <si>
    <t>Ross</t>
  </si>
  <si>
    <t>Croft</t>
  </si>
  <si>
    <t>rosscroftcountrymusic@hotmail.com</t>
  </si>
  <si>
    <t>Nauman</t>
  </si>
  <si>
    <t>lostnation92@gmail.com</t>
  </si>
  <si>
    <t>Jennifer</t>
  </si>
  <si>
    <t>Lyne Leclair</t>
  </si>
  <si>
    <t>jennifer_lynn@hotmail.com</t>
  </si>
  <si>
    <t>Rezvani</t>
  </si>
  <si>
    <t>rana.rezvani1012@gmail.com</t>
  </si>
  <si>
    <t>Twya</t>
  </si>
  <si>
    <t>Grenier</t>
  </si>
  <si>
    <t>twyagrenier@live.ca</t>
  </si>
  <si>
    <t>Karsyn</t>
  </si>
  <si>
    <t>Niven</t>
  </si>
  <si>
    <t>kbniven15@gmail.com</t>
  </si>
  <si>
    <t>Demarca</t>
  </si>
  <si>
    <t>TV</t>
  </si>
  <si>
    <t>diegotv73@yahoo.com</t>
  </si>
  <si>
    <t>Krzystof</t>
  </si>
  <si>
    <t>Staroscik</t>
  </si>
  <si>
    <t>DeloresMary</t>
  </si>
  <si>
    <t>Power Byrne</t>
  </si>
  <si>
    <t>ddbyrne7@gmail.com</t>
  </si>
  <si>
    <t>Mccartney</t>
  </si>
  <si>
    <t>Joannemccartney@rogers.com</t>
  </si>
  <si>
    <t>Shelly</t>
  </si>
  <si>
    <t>Grassmick</t>
  </si>
  <si>
    <t>grassmicks@gmail.com</t>
  </si>
  <si>
    <t>Allana</t>
  </si>
  <si>
    <t>Marie Alova</t>
  </si>
  <si>
    <t>allanamariealova@gmail.com</t>
  </si>
  <si>
    <t>Diamond</t>
  </si>
  <si>
    <t>taradiamond817@gmail.com</t>
  </si>
  <si>
    <t>Pat</t>
  </si>
  <si>
    <t>Wiebe</t>
  </si>
  <si>
    <t>pwc2265@gmail.com</t>
  </si>
  <si>
    <t>Dinar</t>
  </si>
  <si>
    <t>Tsegazeab</t>
  </si>
  <si>
    <t>dinutsegazeab@gmail.com</t>
  </si>
  <si>
    <t>Lonechild</t>
  </si>
  <si>
    <t>Haley</t>
  </si>
  <si>
    <t>lonechildhaley@gmail.com</t>
  </si>
  <si>
    <t>Emenogu</t>
  </si>
  <si>
    <t>omonoefe@yahoo.com</t>
  </si>
  <si>
    <t>Carr</t>
  </si>
  <si>
    <t>nicey1978@gmail.com</t>
  </si>
  <si>
    <t>Ross-ruszkowski</t>
  </si>
  <si>
    <t>jenrusz1487@gmail.com</t>
  </si>
  <si>
    <t>Andrew</t>
  </si>
  <si>
    <t>McDonald</t>
  </si>
  <si>
    <t>oldandcranky@hotmail.ca</t>
  </si>
  <si>
    <t>Kogger</t>
  </si>
  <si>
    <t>Kog</t>
  </si>
  <si>
    <t>colin_starcar@hotmail.com</t>
  </si>
  <si>
    <t>MacDougall</t>
  </si>
  <si>
    <t>dmac3@hotmail.com</t>
  </si>
  <si>
    <t>Maureen</t>
  </si>
  <si>
    <t>Okello</t>
  </si>
  <si>
    <t>maureenokello92@gmail.com</t>
  </si>
  <si>
    <t>Emberley</t>
  </si>
  <si>
    <t>deborah_emberley@hotmail.com</t>
  </si>
  <si>
    <t>Yaya</t>
  </si>
  <si>
    <t>Jao</t>
  </si>
  <si>
    <t>yayajao@gmail.com</t>
  </si>
  <si>
    <t>Gerald</t>
  </si>
  <si>
    <t>Demers</t>
  </si>
  <si>
    <t>geralddemers2010@gmail.com</t>
  </si>
  <si>
    <t>Yvonne</t>
  </si>
  <si>
    <t>Pokolm</t>
  </si>
  <si>
    <t>Pokaman369@hotmail.com</t>
  </si>
  <si>
    <t>Annell</t>
  </si>
  <si>
    <t>Kostantin</t>
  </si>
  <si>
    <t>aakostantin@live.ca</t>
  </si>
  <si>
    <t>Frye</t>
  </si>
  <si>
    <t>gloria.rfrye1951@gmail.com</t>
  </si>
  <si>
    <t>Lilian</t>
  </si>
  <si>
    <t>Dike</t>
  </si>
  <si>
    <t>lilifavme@yaho.ca</t>
  </si>
  <si>
    <t>Candi</t>
  </si>
  <si>
    <t>Kobialko</t>
  </si>
  <si>
    <t>newthingsahead2019@outlook.com</t>
  </si>
  <si>
    <t>Aries</t>
  </si>
  <si>
    <t>Clemeno</t>
  </si>
  <si>
    <t>arccarlseira@gmail.com</t>
  </si>
  <si>
    <t>Randy</t>
  </si>
  <si>
    <t>Kulcsar</t>
  </si>
  <si>
    <t>kulcs@sasktel.com</t>
  </si>
  <si>
    <t>Morin</t>
  </si>
  <si>
    <t>karenmorin10@gmail.com</t>
  </si>
  <si>
    <t>Deb</t>
  </si>
  <si>
    <t>Batiuk</t>
  </si>
  <si>
    <t>kijreply@gmail.com</t>
  </si>
  <si>
    <t>Glencross</t>
  </si>
  <si>
    <t>glenc.regina@outlook.com</t>
  </si>
  <si>
    <t>Michael</t>
  </si>
  <si>
    <t>mickeystephen1964@icloud.com</t>
  </si>
  <si>
    <t>Chuck</t>
  </si>
  <si>
    <t>Buhr</t>
  </si>
  <si>
    <t>chuckbbuhr@gmail.com</t>
  </si>
  <si>
    <t>Holly</t>
  </si>
  <si>
    <t>Budnik</t>
  </si>
  <si>
    <t>hberry1@tbyatel.net</t>
  </si>
  <si>
    <t>Williams</t>
  </si>
  <si>
    <t>jennmike00@gmail.com</t>
  </si>
  <si>
    <t>Gurleen</t>
  </si>
  <si>
    <t>Kaur</t>
  </si>
  <si>
    <t>gurigoraya61@gmail.com</t>
  </si>
  <si>
    <t>Mayank</t>
  </si>
  <si>
    <t>Talwar</t>
  </si>
  <si>
    <t>mayanktalwar962@gmail.com</t>
  </si>
  <si>
    <t>Fiallos</t>
  </si>
  <si>
    <t>monicafiallos604@yahoo.com</t>
  </si>
  <si>
    <t>Patrizia</t>
  </si>
  <si>
    <t>Marrazzo</t>
  </si>
  <si>
    <t>marrazzopatricia27@gmail.com</t>
  </si>
  <si>
    <t>Oluwole</t>
  </si>
  <si>
    <t>Ojo</t>
  </si>
  <si>
    <t>Oluwoleojo1984@gmail.com</t>
  </si>
  <si>
    <t>Dorothy</t>
  </si>
  <si>
    <t>Rowe</t>
  </si>
  <si>
    <t>rowedorothy89@gmail.com</t>
  </si>
  <si>
    <t>Asare</t>
  </si>
  <si>
    <t>judithasare06@gmail.com</t>
  </si>
  <si>
    <t>Phoebe</t>
  </si>
  <si>
    <t>Myownlash@gmail.com</t>
  </si>
  <si>
    <t>Monique</t>
  </si>
  <si>
    <t>Darke</t>
  </si>
  <si>
    <t>darkepeanut@gmail.com</t>
  </si>
  <si>
    <t>Tolulope</t>
  </si>
  <si>
    <t>oloyede</t>
  </si>
  <si>
    <t>toluoloyede2@gmail.com</t>
  </si>
  <si>
    <t>Javier</t>
  </si>
  <si>
    <t>Toledo</t>
  </si>
  <si>
    <t>franciuno@hotmail.com</t>
  </si>
  <si>
    <t>Navjot</t>
  </si>
  <si>
    <t>navjotk11092000@gmail.com</t>
  </si>
  <si>
    <t>Laudina</t>
  </si>
  <si>
    <t>Osei-Wusu</t>
  </si>
  <si>
    <t>laudinassantewaaoseiwusu@gmail.com</t>
  </si>
  <si>
    <t>Mandy</t>
  </si>
  <si>
    <t>Caron</t>
  </si>
  <si>
    <t>mandy.caron@gmail.com</t>
  </si>
  <si>
    <t>jagdeepsingh.js531@gmail.com</t>
  </si>
  <si>
    <t xml:space="preserve">Kaur </t>
  </si>
  <si>
    <t>nk609455@gmail.com</t>
  </si>
  <si>
    <t xml:space="preserve">Owoundi </t>
  </si>
  <si>
    <t>a26vanou@yahoo.fr</t>
  </si>
  <si>
    <t>Shandy</t>
  </si>
  <si>
    <t>Mopia</t>
  </si>
  <si>
    <t>mopias@yahoo.fr</t>
  </si>
  <si>
    <t>Jordie</t>
  </si>
  <si>
    <t xml:space="preserve">Goltsman </t>
  </si>
  <si>
    <t>Jordan_goltsman@hotmail.com</t>
  </si>
  <si>
    <t>Praught</t>
  </si>
  <si>
    <t>bazookajj@yahoo.com</t>
  </si>
  <si>
    <t>Sherri</t>
  </si>
  <si>
    <t>Brouwer</t>
  </si>
  <si>
    <t xml:space="preserve">sherribrouwer3@gmail.com </t>
  </si>
  <si>
    <t>Latoya</t>
  </si>
  <si>
    <t xml:space="preserve">Carrington </t>
  </si>
  <si>
    <t>afriandacarrington@gmail.com</t>
  </si>
  <si>
    <t>Jiwan</t>
  </si>
  <si>
    <t>Sandhu</t>
  </si>
  <si>
    <t xml:space="preserve">js4582860@gmail.com </t>
  </si>
  <si>
    <t>Akd</t>
  </si>
  <si>
    <t>Sam</t>
  </si>
  <si>
    <t>librabeauty4real@yahoo.com</t>
  </si>
  <si>
    <t>dk005699@gmail.com</t>
  </si>
  <si>
    <t>Farideh</t>
  </si>
  <si>
    <t>Rahimi</t>
  </si>
  <si>
    <t>faridehrahimi50@yahoo.ca</t>
  </si>
  <si>
    <t>Danh</t>
  </si>
  <si>
    <t>Tina</t>
  </si>
  <si>
    <t>danhthiha@yahoo.com</t>
  </si>
  <si>
    <t>Luo</t>
  </si>
  <si>
    <t>luowei31213112@gmail.com</t>
  </si>
  <si>
    <t>Makayla</t>
  </si>
  <si>
    <t>Campeau</t>
  </si>
  <si>
    <t>makaylacampeau12@gmail.com</t>
  </si>
  <si>
    <t>Harry</t>
  </si>
  <si>
    <t>harry1994gill@gmail.com</t>
  </si>
  <si>
    <t>Judy</t>
  </si>
  <si>
    <t>Sheppard</t>
  </si>
  <si>
    <t>smart_choice46@hotmail.com</t>
  </si>
  <si>
    <t>Oake</t>
  </si>
  <si>
    <t>oakeelizabeth@gmail.com</t>
  </si>
  <si>
    <t>Kelli</t>
  </si>
  <si>
    <t>Steffen</t>
  </si>
  <si>
    <t>ksteffen2014@gmail.com</t>
  </si>
  <si>
    <t>Harmanpreet</t>
  </si>
  <si>
    <t>harmanbrar6694@gmail.com</t>
  </si>
  <si>
    <t>Val</t>
  </si>
  <si>
    <t>Malanowich</t>
  </si>
  <si>
    <t>valgraham10@gmail.com</t>
  </si>
  <si>
    <t>Valerie</t>
  </si>
  <si>
    <t>Boudreau</t>
  </si>
  <si>
    <t>vboudreau71@outlook.com</t>
  </si>
  <si>
    <t>Ida</t>
  </si>
  <si>
    <t>Amankwaa</t>
  </si>
  <si>
    <t>amankwaaida@gmail.com</t>
  </si>
  <si>
    <t>Dominic</t>
  </si>
  <si>
    <t>Lykins</t>
  </si>
  <si>
    <t>dominiclykins@gmail.com</t>
  </si>
  <si>
    <t>Japrin</t>
  </si>
  <si>
    <t>japrinbhullar1712@gmail.com</t>
  </si>
  <si>
    <t>Alyssa</t>
  </si>
  <si>
    <t>alyssaguiboche@hotmail.com</t>
  </si>
  <si>
    <t>Dufresne</t>
  </si>
  <si>
    <t>danielledufresne583@gmail.com</t>
  </si>
  <si>
    <t>Tantoh</t>
  </si>
  <si>
    <t>tantohbrenda10@gmail.com</t>
  </si>
  <si>
    <t>Alzair</t>
  </si>
  <si>
    <t>Chuiu</t>
  </si>
  <si>
    <t>arshiaarsalan23@gmail.com</t>
  </si>
  <si>
    <t>Levesque</t>
  </si>
  <si>
    <t>jcklvsq@gmail.com</t>
  </si>
  <si>
    <t>Riette</t>
  </si>
  <si>
    <t>Sonnekus</t>
  </si>
  <si>
    <t>admin@worldfocus.ca</t>
  </si>
  <si>
    <t>Ifeoma</t>
  </si>
  <si>
    <t>Opute</t>
  </si>
  <si>
    <t>ifeomaopute1@gmail.com</t>
  </si>
  <si>
    <t>Criz</t>
  </si>
  <si>
    <t>Vafz</t>
  </si>
  <si>
    <t>crisvaflor@yahoo.com</t>
  </si>
  <si>
    <t>Edgardo</t>
  </si>
  <si>
    <t>Caraan</t>
  </si>
  <si>
    <t>edgardo.caraan@yahoo.com</t>
  </si>
  <si>
    <t>Klassen</t>
  </si>
  <si>
    <t>sgk@hotmail.ca</t>
  </si>
  <si>
    <t>Marie-jeanne</t>
  </si>
  <si>
    <t>O'connor</t>
  </si>
  <si>
    <t>oconnormariejeanne@gmail.ocm</t>
  </si>
  <si>
    <t>Melina</t>
  </si>
  <si>
    <t>Klein</t>
  </si>
  <si>
    <t>melinaklein9@gmail.com</t>
  </si>
  <si>
    <t>Jasper</t>
  </si>
  <si>
    <t>Ninine</t>
  </si>
  <si>
    <t>jasperotc@gmail.com</t>
  </si>
  <si>
    <t>Paula Andrea</t>
  </si>
  <si>
    <t>Gomez</t>
  </si>
  <si>
    <t>paugo24@gmail.com</t>
  </si>
  <si>
    <t>Gurjot</t>
  </si>
  <si>
    <t>Ahuja</t>
  </si>
  <si>
    <t>komalpreetkaurcheema816@gmail.com</t>
  </si>
  <si>
    <t>Daryl</t>
  </si>
  <si>
    <t>Keugo</t>
  </si>
  <si>
    <t>darykeugo@icloud.com</t>
  </si>
  <si>
    <t>Beatrice</t>
  </si>
  <si>
    <t>Wallace</t>
  </si>
  <si>
    <t>wallacebeatrice@gmail.com</t>
  </si>
  <si>
    <t>Chinelo</t>
  </si>
  <si>
    <t>Okonkwo</t>
  </si>
  <si>
    <t>ochinelo95@gmail.com</t>
  </si>
  <si>
    <t>Gwen</t>
  </si>
  <si>
    <t>Read</t>
  </si>
  <si>
    <t>1963gaydavis@gmail.com</t>
  </si>
  <si>
    <t>Marie-Eve</t>
  </si>
  <si>
    <t>Beland</t>
  </si>
  <si>
    <t>belandmary22@hotmail.com</t>
  </si>
  <si>
    <t>Frank</t>
  </si>
  <si>
    <t>Thornhill</t>
  </si>
  <si>
    <t>frankthornhill5@gmail.com</t>
  </si>
  <si>
    <t>Dominique</t>
  </si>
  <si>
    <t>dominiquepoirier69@gmail.com</t>
  </si>
  <si>
    <t>Mann</t>
  </si>
  <si>
    <t>susieq80ed@gmail.com</t>
  </si>
  <si>
    <t>Opie</t>
  </si>
  <si>
    <t>gkopie@gmail.com</t>
  </si>
  <si>
    <t>Obed</t>
  </si>
  <si>
    <t>Madrid</t>
  </si>
  <si>
    <t>obedmadrid0505@gmail.com</t>
  </si>
  <si>
    <t>Nadon</t>
  </si>
  <si>
    <t>lauriem1971@gmail.com</t>
  </si>
  <si>
    <t>Guay</t>
  </si>
  <si>
    <t>nicole.g18@icloud.com</t>
  </si>
  <si>
    <t>Stelmaschuk</t>
  </si>
  <si>
    <t>arlenes1@hotmail.com</t>
  </si>
  <si>
    <t>Alaa</t>
  </si>
  <si>
    <t>Molhm</t>
  </si>
  <si>
    <t>baby.angel14.5.15@gmail.com</t>
  </si>
  <si>
    <t>Bernard</t>
  </si>
  <si>
    <t>bernardmariarose@gmail.com</t>
  </si>
  <si>
    <t>Lucie</t>
  </si>
  <si>
    <t>Bacon</t>
  </si>
  <si>
    <t>luciebacon47@gmail.com</t>
  </si>
  <si>
    <t>Pascoe</t>
  </si>
  <si>
    <t>pascoewcm@gmail.com</t>
  </si>
  <si>
    <t>Dyre</t>
  </si>
  <si>
    <t>Whitehead</t>
  </si>
  <si>
    <t>dyrewhitehead@gmail.com</t>
  </si>
  <si>
    <t>Thole</t>
  </si>
  <si>
    <t>tholejoanne8@gmail.com</t>
  </si>
  <si>
    <t>Greg</t>
  </si>
  <si>
    <t>mgdavis445@gmail.com</t>
  </si>
  <si>
    <t>Sara Lamie</t>
  </si>
  <si>
    <t>Charles-Achille</t>
  </si>
  <si>
    <t>sarah.lamie@me.com</t>
  </si>
  <si>
    <t>Pritchard</t>
  </si>
  <si>
    <t>joanfeschuk@gmail.com</t>
  </si>
  <si>
    <t>Kaitlyn</t>
  </si>
  <si>
    <t>Goertzen</t>
  </si>
  <si>
    <t>katiegoertzen14@gmail.com</t>
  </si>
  <si>
    <t>Donavon</t>
  </si>
  <si>
    <t>Sired</t>
  </si>
  <si>
    <t>golfwineandfun@gmail.com</t>
  </si>
  <si>
    <t>Berube</t>
  </si>
  <si>
    <t>lordow@telus.net</t>
  </si>
  <si>
    <t>Sernecky</t>
  </si>
  <si>
    <t>G.sernecky@sasktel.net</t>
  </si>
  <si>
    <t>Gzena Eyob</t>
  </si>
  <si>
    <t>Gebreab</t>
  </si>
  <si>
    <t>gizenae@gmail.com</t>
  </si>
  <si>
    <t>nancyburnedettewilliams@gmail.com</t>
  </si>
  <si>
    <t>Williston</t>
  </si>
  <si>
    <t>vanessawilliston42@gmail.com</t>
  </si>
  <si>
    <t>Pam</t>
  </si>
  <si>
    <t>Gero</t>
  </si>
  <si>
    <t>disneygero@gmail.com</t>
  </si>
  <si>
    <t>Gurvinder</t>
  </si>
  <si>
    <t>Rangi</t>
  </si>
  <si>
    <t>gurvinderrangi@gmail.com</t>
  </si>
  <si>
    <t>Claire</t>
  </si>
  <si>
    <t>Birch</t>
  </si>
  <si>
    <t>claire.a.birch@gmail.com</t>
  </si>
  <si>
    <t>Renaud</t>
  </si>
  <si>
    <t>jackrenaud8@gmail.com</t>
  </si>
  <si>
    <t>Honyam Gillian</t>
  </si>
  <si>
    <t>Alobwede</t>
  </si>
  <si>
    <t>honyamgilliankole@gmail.com</t>
  </si>
  <si>
    <t>Heleta</t>
  </si>
  <si>
    <t>vmheleta@hotmail.com</t>
  </si>
  <si>
    <t>Spoljarich</t>
  </si>
  <si>
    <t>guestmantop90@gmail.com</t>
  </si>
  <si>
    <t>Leblanc</t>
  </si>
  <si>
    <t>wsdesign@nbnet.nb.ca</t>
  </si>
  <si>
    <t>Gautreau</t>
  </si>
  <si>
    <t>andreagoutreau@gmail.com</t>
  </si>
  <si>
    <t>Lynn</t>
  </si>
  <si>
    <t>lynn1prince@gmail.com</t>
  </si>
  <si>
    <t>Rebekah</t>
  </si>
  <si>
    <t>Siobhan</t>
  </si>
  <si>
    <t>siobhanball14@gmail.com</t>
  </si>
  <si>
    <t>Flavo</t>
  </si>
  <si>
    <t>Fly</t>
  </si>
  <si>
    <t xml:space="preserve">twknk0630@gmail.com </t>
  </si>
  <si>
    <t>Terry</t>
  </si>
  <si>
    <t>Ellsworth</t>
  </si>
  <si>
    <t>ellsworthterry612@gmail.com</t>
  </si>
  <si>
    <t>Ghislain</t>
  </si>
  <si>
    <t>Lessard</t>
  </si>
  <si>
    <t>ghislainlessard26@gmail.com</t>
  </si>
  <si>
    <t>Saborio</t>
  </si>
  <si>
    <t>stefanesaborio@gmail.com</t>
  </si>
  <si>
    <t>Angel</t>
  </si>
  <si>
    <t>Shannon</t>
  </si>
  <si>
    <t>gladueangel85@gmail.com</t>
  </si>
  <si>
    <t>Ryan</t>
  </si>
  <si>
    <t>Richards</t>
  </si>
  <si>
    <t>ryanalrichards@gmail.com</t>
  </si>
  <si>
    <t>lindabrown47@gmail.com</t>
  </si>
  <si>
    <t>Ihssen</t>
  </si>
  <si>
    <t>Chemkhi</t>
  </si>
  <si>
    <t>chemkhiksen@gmail.com</t>
  </si>
  <si>
    <t>Adefunke</t>
  </si>
  <si>
    <t>Adelekan</t>
  </si>
  <si>
    <t>babs_bishi@yahoo.com</t>
  </si>
  <si>
    <t>Karen Roy</t>
  </si>
  <si>
    <t>Whitewood</t>
  </si>
  <si>
    <t>karenwhitewood4@gmail.com</t>
  </si>
  <si>
    <t>Clara</t>
  </si>
  <si>
    <t>Irvine</t>
  </si>
  <si>
    <t>Clarairvine1938@gmail.com</t>
  </si>
  <si>
    <t>Sacobie</t>
  </si>
  <si>
    <t>marksacobie@gmail.com</t>
  </si>
  <si>
    <t>Trudy</t>
  </si>
  <si>
    <t>O'neil</t>
  </si>
  <si>
    <t>trudyoneill@gmail.com</t>
  </si>
  <si>
    <t>Sachin</t>
  </si>
  <si>
    <t>Sharma</t>
  </si>
  <si>
    <t>sachincanada1797@gmail.com</t>
  </si>
  <si>
    <t>Chantel</t>
  </si>
  <si>
    <t>Jeffers</t>
  </si>
  <si>
    <t>ccjeffers@live.ca</t>
  </si>
  <si>
    <t>Pische</t>
  </si>
  <si>
    <t>carolpische23@gmail.com</t>
  </si>
  <si>
    <t>Stacy</t>
  </si>
  <si>
    <t>Ponask</t>
  </si>
  <si>
    <t>stacyponask@hotmail.com</t>
  </si>
  <si>
    <t>Kass</t>
  </si>
  <si>
    <t>Mur</t>
  </si>
  <si>
    <t>assokagwesage@yahoo.fr</t>
  </si>
  <si>
    <t>Afonska</t>
  </si>
  <si>
    <t xml:space="preserve">ielizavetta0@gmail.com </t>
  </si>
  <si>
    <t>Lillian Madge</t>
  </si>
  <si>
    <t>Jenkins</t>
  </si>
  <si>
    <t>mydogdexter@hotmail.com</t>
  </si>
  <si>
    <t>Rob</t>
  </si>
  <si>
    <t>Kushner</t>
  </si>
  <si>
    <t>krusher1944@yahoo.ca</t>
  </si>
  <si>
    <t>Aneesh</t>
  </si>
  <si>
    <t>ani.heartbeats@gmail.com</t>
  </si>
  <si>
    <t>Lise</t>
  </si>
  <si>
    <t>marcotte</t>
  </si>
  <si>
    <t>lisonmarcotte1947@gmail.com</t>
  </si>
  <si>
    <t>Cathy</t>
  </si>
  <si>
    <t>Mcdermott</t>
  </si>
  <si>
    <t>cathymothermother2@gmail.com</t>
  </si>
  <si>
    <t>Rozy</t>
  </si>
  <si>
    <t>rozythakur25699@gmail.com</t>
  </si>
  <si>
    <t>Princess</t>
  </si>
  <si>
    <t>Cinderella</t>
  </si>
  <si>
    <t>izmeehafool@hotmail.com</t>
  </si>
  <si>
    <t>Weegar</t>
  </si>
  <si>
    <t>brendaweegar70@gmail.com</t>
  </si>
  <si>
    <t>sgeysen@sasktel.net</t>
  </si>
  <si>
    <t>Kaily</t>
  </si>
  <si>
    <t>kailyw16@icloud.com</t>
  </si>
  <si>
    <t>Clement</t>
  </si>
  <si>
    <t>Turcotte</t>
  </si>
  <si>
    <t>clementturcotte@msn.com</t>
  </si>
  <si>
    <t>Jasvir</t>
  </si>
  <si>
    <t>jkjasvirkaur123@gmail.com</t>
  </si>
  <si>
    <t>Margot</t>
  </si>
  <si>
    <t>Cormier</t>
  </si>
  <si>
    <t>margotcormier1975@gmail.com</t>
  </si>
  <si>
    <t>Jessie</t>
  </si>
  <si>
    <t>Bruno</t>
  </si>
  <si>
    <t>jbimportaintemails@gmail.com</t>
  </si>
  <si>
    <t>Debra S</t>
  </si>
  <si>
    <t>Armour</t>
  </si>
  <si>
    <t>armourdebra@gmail.com</t>
  </si>
  <si>
    <t>Myrelle Raby</t>
  </si>
  <si>
    <t>robmyr.denis@videotron.ca</t>
  </si>
  <si>
    <t>Samyukhta</t>
  </si>
  <si>
    <t>Kandasamy</t>
  </si>
  <si>
    <t>samyukthakandasamy@gmail.com</t>
  </si>
  <si>
    <t>Alan</t>
  </si>
  <si>
    <t>alanjoy56@gmail.com</t>
  </si>
  <si>
    <t>Connolly</t>
  </si>
  <si>
    <t>sharonconnolly57@gmail.com</t>
  </si>
  <si>
    <t>Shalee</t>
  </si>
  <si>
    <t>Mulatz</t>
  </si>
  <si>
    <t>shaleemulatz@icloud.com</t>
  </si>
  <si>
    <t>Murphy</t>
  </si>
  <si>
    <t>scorpionan50@gmail.com</t>
  </si>
  <si>
    <t>Irene</t>
  </si>
  <si>
    <t>Ocampo</t>
  </si>
  <si>
    <t>irayoc@gmail.com</t>
  </si>
  <si>
    <t xml:space="preserve">Milton </t>
  </si>
  <si>
    <t>Grill</t>
  </si>
  <si>
    <t>Milt_helen@telus.net</t>
  </si>
  <si>
    <t>Regina</t>
  </si>
  <si>
    <t>reginatom73@gmail.com</t>
  </si>
  <si>
    <t>Neeru</t>
  </si>
  <si>
    <t>Vanderlaan</t>
  </si>
  <si>
    <t>party_911@yahoo.ca</t>
  </si>
  <si>
    <t>Yayou</t>
  </si>
  <si>
    <t>toureastou2@gmail.com</t>
  </si>
  <si>
    <t>Jean-Claude</t>
  </si>
  <si>
    <t>Desrosiers</t>
  </si>
  <si>
    <t>jcdel2022@telus.net</t>
  </si>
  <si>
    <t>Perrault</t>
  </si>
  <si>
    <t>Annperrault16@gmail.com</t>
  </si>
  <si>
    <t>Harvey</t>
  </si>
  <si>
    <t>Cunningham</t>
  </si>
  <si>
    <t>hcunningham@sasktel.net</t>
  </si>
  <si>
    <t>Yousef</t>
  </si>
  <si>
    <t>Khojasteh</t>
  </si>
  <si>
    <t xml:space="preserve">yousefkhojasteh.ca@gmail.com </t>
  </si>
  <si>
    <t xml:space="preserve">Lewis </t>
  </si>
  <si>
    <t>Skinner</t>
  </si>
  <si>
    <t>ducatlew@hotmail.com</t>
  </si>
  <si>
    <t>Lucy</t>
  </si>
  <si>
    <t>Yalley</t>
  </si>
  <si>
    <t xml:space="preserve">yalleylucy5@gmail.com </t>
  </si>
  <si>
    <t>Rajveer</t>
  </si>
  <si>
    <t xml:space="preserve">Wraichrajeevkaur@gmail.com </t>
  </si>
  <si>
    <t>Aman</t>
  </si>
  <si>
    <t>Jasani</t>
  </si>
  <si>
    <t>amanzrocker@gmail.com</t>
  </si>
  <si>
    <t>Decker</t>
  </si>
  <si>
    <t>geralddecker9@gmail.com</t>
  </si>
  <si>
    <t xml:space="preserve">Navjeet </t>
  </si>
  <si>
    <t>ravinder78907890@gmail.com</t>
  </si>
  <si>
    <t>Susie</t>
  </si>
  <si>
    <t>Pereira</t>
  </si>
  <si>
    <t xml:space="preserve">susie.1andbreanna.2@gmail.com </t>
  </si>
  <si>
    <t>Laplante</t>
  </si>
  <si>
    <t>laplante2346@gmail.com</t>
  </si>
  <si>
    <t>Loida</t>
  </si>
  <si>
    <t>ROsaldo</t>
  </si>
  <si>
    <t>loidarosaldo@hotmail.com</t>
  </si>
  <si>
    <t>Candice</t>
  </si>
  <si>
    <t>ctthompson14@hotmail.com</t>
  </si>
  <si>
    <t>Vaughan</t>
  </si>
  <si>
    <t>nerdstogo@hotmail.com</t>
  </si>
  <si>
    <t>Connor</t>
  </si>
  <si>
    <t>Mcdougall</t>
  </si>
  <si>
    <t>gmcdougall037@gmail.com</t>
  </si>
  <si>
    <t>Amie</t>
  </si>
  <si>
    <t>Mazerolle</t>
  </si>
  <si>
    <t>amiem2016@gmail.com</t>
  </si>
  <si>
    <t>Sooley</t>
  </si>
  <si>
    <t>williamjsooley52@hotmail.com</t>
  </si>
  <si>
    <t>MAry</t>
  </si>
  <si>
    <t>Alpala</t>
  </si>
  <si>
    <t>maryalpala@outlook.com</t>
  </si>
  <si>
    <t>Eugene</t>
  </si>
  <si>
    <t>Bourke</t>
  </si>
  <si>
    <t>eugene_bourke@hotmail.com</t>
  </si>
  <si>
    <t>Marshall</t>
  </si>
  <si>
    <t>marshallv779@gmail.com</t>
  </si>
  <si>
    <t>Ehsan</t>
  </si>
  <si>
    <t>Sheikh</t>
  </si>
  <si>
    <t>esheikh@gmail.com</t>
  </si>
  <si>
    <t>carol</t>
  </si>
  <si>
    <t>Schultz</t>
  </si>
  <si>
    <t>carol_tracs@hotmail.com</t>
  </si>
  <si>
    <t>Tim</t>
  </si>
  <si>
    <t>Esty</t>
  </si>
  <si>
    <t>timesty1960@gmail.com</t>
  </si>
  <si>
    <t>chopraaks322@gmail.com</t>
  </si>
  <si>
    <t>Arista</t>
  </si>
  <si>
    <t>Bouch</t>
  </si>
  <si>
    <t>bouchpa@gmail.com</t>
  </si>
  <si>
    <t>Pilon</t>
  </si>
  <si>
    <t>nicolepilon0827@gmail.com</t>
  </si>
  <si>
    <t>Date Received</t>
  </si>
  <si>
    <t>Phone</t>
  </si>
  <si>
    <t>Email</t>
  </si>
  <si>
    <t>Notes</t>
  </si>
  <si>
    <t>Shandon</t>
  </si>
  <si>
    <t>Chin</t>
  </si>
  <si>
    <t>shandon.chin@yahoo.ca</t>
  </si>
  <si>
    <t>samara.boparai@gmail.com</t>
  </si>
  <si>
    <t>azaanak@gmail.com</t>
  </si>
  <si>
    <t>chantale.johannson@rbc.com</t>
  </si>
  <si>
    <t>nisapersaud98@gmail.com</t>
  </si>
  <si>
    <t xml:space="preserve">Nadeem </t>
  </si>
  <si>
    <t>abdulhainad@gmail.com</t>
  </si>
  <si>
    <t>stevehennessey1973@gmail.com</t>
  </si>
  <si>
    <t>arianawireless@gmail.com</t>
  </si>
  <si>
    <t>Lynlsdesigns12@gmail.com</t>
  </si>
  <si>
    <t>bb6204719@gmail.com</t>
  </si>
  <si>
    <t>info@edmondishag.com</t>
  </si>
  <si>
    <t>grace.liifoli@icloud.com</t>
  </si>
  <si>
    <t>-</t>
  </si>
  <si>
    <t>kt237097@gmail.com</t>
  </si>
  <si>
    <t>jana.r020@gmail.com</t>
  </si>
  <si>
    <t>silvernic2@gmail.com</t>
  </si>
  <si>
    <t>mikaheliahs@gmail.com</t>
  </si>
  <si>
    <t>duane@duanewelington.ca</t>
  </si>
  <si>
    <t>samytabana69@gmail.com</t>
  </si>
  <si>
    <t>bambamakhtar2@gmail.com</t>
  </si>
  <si>
    <t>chrisdavid07@gmail.com</t>
  </si>
  <si>
    <t>abdoulaye59@gmail.com</t>
  </si>
  <si>
    <t>santosh.reality@gmail.com</t>
  </si>
  <si>
    <t>gildammjack@hotmail.com</t>
  </si>
  <si>
    <t>Pankej</t>
  </si>
  <si>
    <t>realtor.pankajpatel@gmail.com</t>
  </si>
  <si>
    <t>Suja.vja@gmail.com</t>
  </si>
  <si>
    <t>ameera.alhiraki1@gmail.com</t>
  </si>
  <si>
    <t>Nargueshatami@gmail.com</t>
  </si>
  <si>
    <t>shamsyusufi786@gmail.com</t>
  </si>
  <si>
    <t>genova</t>
  </si>
  <si>
    <t>Acsnovaholdings@gmail.com</t>
  </si>
  <si>
    <t>Joshua</t>
  </si>
  <si>
    <t>Pauljoshua.tanda2@cibc.com</t>
  </si>
  <si>
    <t>Ginahopes@gmail.com</t>
  </si>
  <si>
    <t>omveerrajput881@gmail.com</t>
  </si>
  <si>
    <t>completecarerealestate@gmail.com</t>
  </si>
  <si>
    <t>nithiya.suntharalingam@gmail.com</t>
  </si>
  <si>
    <t>tiffalexa@hotmail.com</t>
  </si>
  <si>
    <t>Joycelyn_d2003@yahoo.com</t>
  </si>
  <si>
    <t>brigbri09@gmail.com</t>
  </si>
  <si>
    <t>ulyhpiga1971@gmail.com</t>
  </si>
  <si>
    <t>Haidz78@yahoo.com</t>
  </si>
  <si>
    <t xml:space="preserve">Mitchell </t>
  </si>
  <si>
    <t>Mackichan</t>
  </si>
  <si>
    <t>mitchmackichan@gmail.com</t>
  </si>
  <si>
    <t>singh3namita@gmail.com</t>
  </si>
  <si>
    <t>Seh</t>
  </si>
  <si>
    <t>Shazia_jz@yahoo.com</t>
  </si>
  <si>
    <t xml:space="preserve">Abby </t>
  </si>
  <si>
    <t>a-owusu@hotmail.ca</t>
  </si>
  <si>
    <t>bedwardlatanya@gmail.com</t>
  </si>
  <si>
    <t>Ekramulkarim.anm@gmail.com</t>
  </si>
  <si>
    <t>kimberlybosse@hotmail.com</t>
  </si>
  <si>
    <t>admin@dreamhouserealestate.ca</t>
  </si>
  <si>
    <t>jeremy</t>
  </si>
  <si>
    <t>pauljeremy32@gmail.com</t>
  </si>
  <si>
    <t>Johnlenon34@gmail.com</t>
  </si>
  <si>
    <t>Tanushreee</t>
  </si>
  <si>
    <t>Kosetanushree81@gmail.com</t>
  </si>
  <si>
    <t>jordank@pmabrethour.com</t>
  </si>
  <si>
    <t>dmuhajer@hotmail.com</t>
  </si>
  <si>
    <t>tjrandhawa.ca@gmail.com</t>
  </si>
  <si>
    <t>gloria_kanhai@hotmail.com</t>
  </si>
  <si>
    <t>williamjanetos7@gmail.com</t>
  </si>
  <si>
    <t>dsinger@madisongroup.ca</t>
  </si>
  <si>
    <t>ksureinthira@hotmail.com</t>
  </si>
  <si>
    <t>faye</t>
  </si>
  <si>
    <t>Synaboufaye403@gmail.com</t>
  </si>
  <si>
    <t>Adelin</t>
  </si>
  <si>
    <t>Adelinkimbu@icloud.com</t>
  </si>
  <si>
    <t xml:space="preserve">Angela </t>
  </si>
  <si>
    <t>amarch229@gmail.com</t>
  </si>
  <si>
    <t>singhjagdeep2004@gmail.com</t>
  </si>
  <si>
    <t>Faud</t>
  </si>
  <si>
    <t>faudjafrani@gmail.com</t>
  </si>
  <si>
    <t>Grace Kobo</t>
  </si>
  <si>
    <t>gracematamba234@gmail.com</t>
  </si>
  <si>
    <t>themartincorenagroup@gmail.com</t>
  </si>
  <si>
    <t>rana@condorealty.com</t>
  </si>
  <si>
    <t>faliciaseepersaud@gmail.com</t>
  </si>
  <si>
    <t>nickw@royallepage.ca</t>
  </si>
  <si>
    <t>dkhomes70@gmail.com</t>
  </si>
  <si>
    <t>brandonmcarthur@royallepage.ca</t>
  </si>
  <si>
    <t>Sinnathamby</t>
  </si>
  <si>
    <t>nila.rajendram@gmail.com</t>
  </si>
  <si>
    <t>kspatelrealtor1@gmail.com</t>
  </si>
  <si>
    <t>hashestates@gmail.com</t>
  </si>
  <si>
    <t>mitziehyre@gmail.com</t>
  </si>
  <si>
    <t>ebadjav@gmail.com</t>
  </si>
  <si>
    <t>guneetrealtor@gmail.com</t>
  </si>
  <si>
    <t>manirul9@yahoo.ca</t>
  </si>
  <si>
    <t>Jiya.gupta@rbc.com</t>
  </si>
  <si>
    <t>karm.realtor@gmail.com</t>
  </si>
  <si>
    <t>meri_444353@yahoo.com</t>
  </si>
  <si>
    <t>aboggus45@gmail.com</t>
  </si>
  <si>
    <t>tikiburey@gmail.com</t>
  </si>
  <si>
    <t>nat.narbut@gmail.com</t>
  </si>
  <si>
    <t>Andrea.clc.dixon@gmail.com</t>
  </si>
  <si>
    <t>shashi.krishan@gmail.com</t>
  </si>
  <si>
    <t>elizabeth.h@hotmail.com</t>
  </si>
  <si>
    <t>prince</t>
  </si>
  <si>
    <t>myrealtyadda@gmail.com</t>
  </si>
  <si>
    <t>makarska1997@gmail.com</t>
  </si>
  <si>
    <t>sbatra@live.ca</t>
  </si>
  <si>
    <t>Jamal</t>
  </si>
  <si>
    <t>realtorjamilqamar@gmail.com</t>
  </si>
  <si>
    <t>grace.chisholm@remax.net</t>
  </si>
  <si>
    <t>iamaaronsaunders@gmail.com</t>
  </si>
  <si>
    <t>ahamouda@hotmail.com</t>
  </si>
  <si>
    <t>buywithsushil@gmail.com</t>
  </si>
  <si>
    <t>cheecks3@gmail.com</t>
  </si>
  <si>
    <t>sahar.rizvi01@gmail.com</t>
  </si>
  <si>
    <t>Javaid</t>
  </si>
  <si>
    <t>wajahat.j29@gmail.com</t>
  </si>
  <si>
    <t>anchowdhry@gmail.com</t>
  </si>
  <si>
    <t>korin.abdelsayed@gmail.com</t>
  </si>
  <si>
    <t>agent@primenewcondos.com</t>
  </si>
  <si>
    <t>mustangfanatic05@hotmail.com</t>
  </si>
  <si>
    <t>Kamalmoe@hotmail.com</t>
  </si>
  <si>
    <t>olatunjibyass@gmail.com</t>
  </si>
  <si>
    <t>andreaishrealty@gmail.com</t>
  </si>
  <si>
    <t>rohanda91@gmail.com</t>
  </si>
  <si>
    <t>nigeleeburnett@live.ca</t>
  </si>
  <si>
    <t>celinepodur@hotmail.com</t>
  </si>
  <si>
    <t>nilufarjubilee.ca@gmail.com</t>
  </si>
  <si>
    <t>christymaliakkal25@gmail.com</t>
  </si>
  <si>
    <t>orhorhoroi@gmail.ocm</t>
  </si>
  <si>
    <t>jsmickle07@hotmail.com</t>
  </si>
  <si>
    <t>Satnam</t>
  </si>
  <si>
    <t>Kareer</t>
  </si>
  <si>
    <t>satnamsinghkareer@yahoo.com</t>
  </si>
  <si>
    <t>missk2163@gmail.com</t>
  </si>
  <si>
    <t>gkajeev@live.ca</t>
  </si>
  <si>
    <t>annishastewt9@gmail.com</t>
  </si>
  <si>
    <t>al@realty.ca</t>
  </si>
  <si>
    <t>doc_sadiq@yahoo.com</t>
  </si>
  <si>
    <t>mark</t>
  </si>
  <si>
    <t>info@markrao.com</t>
  </si>
  <si>
    <t>janajan0129@gmail.com</t>
  </si>
  <si>
    <t>khan.yourrealty@gmail.com</t>
  </si>
  <si>
    <t>taisavory@hotmail.com</t>
  </si>
  <si>
    <t>Lauri</t>
  </si>
  <si>
    <t>laurie77555@aol.com</t>
  </si>
  <si>
    <t>Pankil</t>
  </si>
  <si>
    <t>Tailor</t>
  </si>
  <si>
    <t>pankiltailor19192@gmail.com</t>
  </si>
  <si>
    <t>haider4107@gmail.com</t>
  </si>
  <si>
    <t>ajithpg21@yahoo.com</t>
  </si>
  <si>
    <t>Li</t>
  </si>
  <si>
    <t>Cox</t>
  </si>
  <si>
    <t>olistevens@students.dsbn.org</t>
  </si>
  <si>
    <t>Christine</t>
  </si>
  <si>
    <t>allservices@bellnet.ca</t>
  </si>
  <si>
    <t>venera.bandzoski@rogers.com</t>
  </si>
  <si>
    <t>simonkellu@hotmail.com</t>
  </si>
  <si>
    <t>matziee06@gmail.com</t>
  </si>
  <si>
    <t>edwin.ricahuerta.er@gmail.com</t>
  </si>
  <si>
    <t>debowago@gmail.com</t>
  </si>
  <si>
    <t>Akhtar</t>
  </si>
  <si>
    <t>nahidaktar1970@gmail.com</t>
  </si>
  <si>
    <t>vnojan_1995@hotmail.com</t>
  </si>
  <si>
    <t>bclarens@gmail.com</t>
  </si>
  <si>
    <t>Marissa.monrose@gmail.com</t>
  </si>
  <si>
    <t>tylerstinson9@hotmail.com</t>
  </si>
  <si>
    <t>mahbub7@aol.com</t>
  </si>
  <si>
    <t>sahoorak5455@gmail.com</t>
  </si>
  <si>
    <t>amitgoel0404@gmail.com</t>
  </si>
  <si>
    <t>fayyaz416@gmail.com</t>
  </si>
  <si>
    <t>Eronwonsele</t>
  </si>
  <si>
    <t>Eilojie</t>
  </si>
  <si>
    <t>eronwonseleayeni@gmail.com</t>
  </si>
  <si>
    <t>Dottin</t>
  </si>
  <si>
    <t>tristan@march1stmedia.com</t>
  </si>
  <si>
    <t>nkembamgbose@gmail.com</t>
  </si>
  <si>
    <t>chris.lim@live.com.my</t>
  </si>
  <si>
    <t>Abbas</t>
  </si>
  <si>
    <t>saarazavi@hotmail.com</t>
  </si>
  <si>
    <t>slmichelins@gmail.com</t>
  </si>
  <si>
    <t>Sehgal</t>
  </si>
  <si>
    <t>sachin.saigal2020@gmail.com</t>
  </si>
  <si>
    <t>hanilicious09@gmail.com</t>
  </si>
  <si>
    <t>arukshanv@gmail.com</t>
  </si>
  <si>
    <t>yilmazaslan@gmail.com</t>
  </si>
  <si>
    <t>nidhi@dreamhouserealestate.ca</t>
  </si>
  <si>
    <t>Nicole.montoni@georgebrown.ca</t>
  </si>
  <si>
    <t>Durf2001@hotmail.com</t>
  </si>
  <si>
    <t>Caceres</t>
  </si>
  <si>
    <t>Marisopulidogalindo@hotmail.com</t>
  </si>
  <si>
    <t>adrian.rajasingam@gmail.com</t>
  </si>
  <si>
    <t>hisham_hasanein@yahoo.com</t>
  </si>
  <si>
    <t>Sripathi</t>
  </si>
  <si>
    <t>sripathi@yahoo.com</t>
  </si>
  <si>
    <t>Shinyb999@gmail.com</t>
  </si>
  <si>
    <t>mohadirahim.imran@yahoo.com</t>
  </si>
  <si>
    <t>yahya</t>
  </si>
  <si>
    <t>yahya.beg@gmail.com</t>
  </si>
  <si>
    <t>vbpatel1997@gmail.com</t>
  </si>
  <si>
    <t>Da Silva</t>
  </si>
  <si>
    <t>brandon.adam.dasilva@gmail.com</t>
  </si>
  <si>
    <t>kaddydarry@gmail.com</t>
  </si>
  <si>
    <t>hoda@condosdeal.com</t>
  </si>
  <si>
    <t>santhiyaaj@hotmail.com</t>
  </si>
  <si>
    <t>Kajendran</t>
  </si>
  <si>
    <t>Kasippillai</t>
  </si>
  <si>
    <t>kajenpillai@gmail.com</t>
  </si>
  <si>
    <t>graham.jessica338@gmail.com</t>
  </si>
  <si>
    <t>Mao</t>
  </si>
  <si>
    <t>fishshrimp@hotmail.com</t>
  </si>
  <si>
    <t>praba161988@gmail.com</t>
  </si>
  <si>
    <t>jesumaryamalathas24@gmail.com</t>
  </si>
  <si>
    <t>madlen.mourad@gmail.com</t>
  </si>
  <si>
    <t>jessysullivan45@gmail.com</t>
  </si>
  <si>
    <t>tyawilliams0@gmail.com</t>
  </si>
  <si>
    <t>Mishasha</t>
  </si>
  <si>
    <t>kmishaha@gmail.com</t>
  </si>
  <si>
    <t>Petrini08@live.ca</t>
  </si>
  <si>
    <t>kam</t>
  </si>
  <si>
    <t>salyamovakamola@gmail.com</t>
  </si>
  <si>
    <t>Rahulpabbas3@gmail.com</t>
  </si>
  <si>
    <t>Bruke</t>
  </si>
  <si>
    <t>roaburke@gmail.com</t>
  </si>
  <si>
    <t>sameeahmed01@gmail.com</t>
  </si>
  <si>
    <t>Anil</t>
  </si>
  <si>
    <t>anil.nagpal61@yahoo.ca</t>
  </si>
  <si>
    <t>Minada077@gmail.com</t>
  </si>
  <si>
    <t>latifur</t>
  </si>
  <si>
    <t>latifur88@gmail.com</t>
  </si>
  <si>
    <t>mohvawda@gmail.com</t>
  </si>
  <si>
    <t>sanjithaku@icloud.com</t>
  </si>
  <si>
    <t>kirandembla14@gmail.com</t>
  </si>
  <si>
    <t>malnaboot@yahoo.com</t>
  </si>
  <si>
    <t>melissa.macaluso@outlook.com</t>
  </si>
  <si>
    <t>alex.pirabakaran@ontariotechu.net</t>
  </si>
  <si>
    <t>Mohita</t>
  </si>
  <si>
    <t>mohit.aroraa@gmail.com</t>
  </si>
  <si>
    <t>Abdul Qadir</t>
  </si>
  <si>
    <t>malikaghous2001@gmail.com</t>
  </si>
  <si>
    <t>kesh576@gmail.com</t>
  </si>
  <si>
    <t>mushyorts@yahoo.com</t>
  </si>
  <si>
    <t>Kumarpa987@gmail.com</t>
  </si>
  <si>
    <t>Qadir</t>
  </si>
  <si>
    <t>lizagrace777@gmail.com</t>
  </si>
  <si>
    <t>steve.waldriff@hotmail.com</t>
  </si>
  <si>
    <t>Claudia.decaria@yahoo.ca</t>
  </si>
  <si>
    <t>faiza1994@hotmail.de</t>
  </si>
  <si>
    <t>mariaanhv@yahoo.com</t>
  </si>
  <si>
    <t>pdshukla016@gmail.com</t>
  </si>
  <si>
    <t>nelsonmassey@outlook.com</t>
  </si>
  <si>
    <t>Kemal</t>
  </si>
  <si>
    <t>kemhamid@gmail.com</t>
  </si>
  <si>
    <t>john</t>
  </si>
  <si>
    <t>jferns8471@gmail.com</t>
  </si>
  <si>
    <t>david.yassine@webyassine.com</t>
  </si>
  <si>
    <t>zohalnazeri3@gmail.com</t>
  </si>
  <si>
    <t>iqbalkarim4@gmail.com</t>
  </si>
  <si>
    <t>rayahg94@gmail.com</t>
  </si>
  <si>
    <t>Fiebig</t>
  </si>
  <si>
    <t>vanessa79.teacher@gmail.com</t>
  </si>
  <si>
    <t>doodleyprints@gmail.com</t>
  </si>
  <si>
    <t>lee119u@gmail.com</t>
  </si>
  <si>
    <t>ericacherisherica@gmail.com</t>
  </si>
  <si>
    <t>babarriaza@yahoo.com</t>
  </si>
  <si>
    <t>jacksmithlokixx9882@gmail.com</t>
  </si>
  <si>
    <t>dd3609567@gmail.com</t>
  </si>
  <si>
    <t>anajcarrasquel@gmail.com</t>
  </si>
  <si>
    <t>Habib Rahman</t>
  </si>
  <si>
    <t>437-557-4821</t>
  </si>
  <si>
    <t>habibwaqar080@gmail.com</t>
  </si>
  <si>
    <t>North York</t>
  </si>
  <si>
    <t>Google</t>
  </si>
  <si>
    <t>437-556-8387</t>
  </si>
  <si>
    <t>a.shuvalsky@gmail.com</t>
  </si>
  <si>
    <t>Toronto</t>
  </si>
  <si>
    <t>647-522-0452</t>
  </si>
  <si>
    <t>mike.b.sperling@gmail.com</t>
  </si>
  <si>
    <t>Oshawa</t>
  </si>
  <si>
    <t>647-939-1429</t>
  </si>
  <si>
    <t>laxmithasurendran@gmail.com</t>
  </si>
  <si>
    <t>Maple</t>
  </si>
  <si>
    <t>365-323-3715</t>
  </si>
  <si>
    <t>hab786@gmail.com</t>
  </si>
  <si>
    <t>Mississauga</t>
  </si>
  <si>
    <t>647-574-1733</t>
  </si>
  <si>
    <t>sourlisaliyah@gmail.com</t>
  </si>
  <si>
    <t>Brampton</t>
  </si>
  <si>
    <t>Indira</t>
  </si>
  <si>
    <t>iluve2suckcock@fredvictor.ca</t>
  </si>
  <si>
    <t>647-631-8540</t>
  </si>
  <si>
    <t>Etobicoke</t>
  </si>
  <si>
    <t>Facebook</t>
  </si>
  <si>
    <t>647-801-1968</t>
  </si>
  <si>
    <t>chantale.johannson@icloud.com</t>
  </si>
  <si>
    <t>SureshKumar</t>
  </si>
  <si>
    <t>ashinasuresh@hotmail.com</t>
  </si>
  <si>
    <t>Joseph.e.guirguis@gmail.com</t>
  </si>
  <si>
    <t>downeycheyanne@outlook.com</t>
  </si>
  <si>
    <t>Ahanon</t>
  </si>
  <si>
    <t>naomi.ahanon@hotmail.com</t>
  </si>
  <si>
    <t>rosine@royalcanadianrealty.com</t>
  </si>
  <si>
    <t>hopemsk10@gmail.com</t>
  </si>
  <si>
    <t>parveen</t>
  </si>
  <si>
    <t>sajidap87@gmail.com</t>
  </si>
  <si>
    <t>Joanrose.wilson@gmail.com</t>
  </si>
  <si>
    <t>647-622-8017</t>
  </si>
  <si>
    <t>kk.persaud@hotmail.com</t>
  </si>
  <si>
    <t>Instagram</t>
  </si>
  <si>
    <t>647-640-2545</t>
  </si>
  <si>
    <t>fchrisgeorge@gmail.com</t>
  </si>
  <si>
    <t>Markham</t>
  </si>
  <si>
    <t>647-313-7327</t>
  </si>
  <si>
    <t>llaffer91@gmail.com</t>
  </si>
  <si>
    <t>Richmond Hill</t>
  </si>
  <si>
    <t>289-980-6854</t>
  </si>
  <si>
    <t>extremecleanprofservices@gmail.com</t>
  </si>
  <si>
    <t>Peterborough</t>
  </si>
  <si>
    <t>Mekidas</t>
  </si>
  <si>
    <t>416-450-3622</t>
  </si>
  <si>
    <t>ymekdes4@gmail.com</t>
  </si>
  <si>
    <t>647-779-1342</t>
  </si>
  <si>
    <t>chris@thesalesteam.ca</t>
  </si>
  <si>
    <t>647-648-6347</t>
  </si>
  <si>
    <t>samsonandrade0@gmail.com</t>
  </si>
  <si>
    <t>647-447-4672</t>
  </si>
  <si>
    <t>Burlington</t>
  </si>
  <si>
    <t>Signage</t>
  </si>
  <si>
    <t>905-616-7590</t>
  </si>
  <si>
    <t>gsiyam@gmail.com</t>
  </si>
  <si>
    <t>647-654-5352</t>
  </si>
  <si>
    <t>h_masood86@hotmail.com</t>
  </si>
  <si>
    <t>416-223-4544</t>
  </si>
  <si>
    <t>ayeshakhan97@gmail.com</t>
  </si>
  <si>
    <t>905-430-0444</t>
  </si>
  <si>
    <t>christinewright@bellnet.ca</t>
  </si>
  <si>
    <t>Bowmanville</t>
  </si>
  <si>
    <t>226-507-4238</t>
  </si>
  <si>
    <t>rfaseal1@gmail.com</t>
  </si>
  <si>
    <t>Kitchener</t>
  </si>
  <si>
    <t>437-269-9755</t>
  </si>
  <si>
    <t>abkid003@gmail.com</t>
  </si>
  <si>
    <t>Mandana</t>
  </si>
  <si>
    <t>Malekjamshidi</t>
  </si>
  <si>
    <t>647-287-0599</t>
  </si>
  <si>
    <t>farhang1x1@yahoo.ca</t>
  </si>
  <si>
    <t>416-822-1268</t>
  </si>
  <si>
    <t>carlingsahinovic@hotmail.com</t>
  </si>
  <si>
    <t>Stouffville</t>
  </si>
  <si>
    <t>Seta</t>
  </si>
  <si>
    <t>Man</t>
  </si>
  <si>
    <t>647-867-7216</t>
  </si>
  <si>
    <t>setathinks@gmail.com</t>
  </si>
  <si>
    <t>merlenedelpesche55555@gmail.com</t>
  </si>
  <si>
    <t>647-985-9092</t>
  </si>
  <si>
    <t>ghousia09@gmail.com</t>
  </si>
  <si>
    <t>705-931-9951</t>
  </si>
  <si>
    <t>tiannafredenburg201@gmail.com</t>
  </si>
  <si>
    <t>Kingston</t>
  </si>
  <si>
    <t>juliyanieh@yahoo.com</t>
  </si>
  <si>
    <t>437-673-4731</t>
  </si>
  <si>
    <t>nagitabashizade@gmail.com</t>
  </si>
  <si>
    <t>Ajax</t>
  </si>
  <si>
    <t>ekhosousi@gmail.com</t>
  </si>
  <si>
    <t>tkgamboa1993@gmail.com</t>
  </si>
  <si>
    <t>desaijignesh49@gmail.com</t>
  </si>
  <si>
    <t>Whitby</t>
  </si>
  <si>
    <t>jacquelinewongrealtor@gmail.com</t>
  </si>
  <si>
    <t>Vancouver</t>
  </si>
  <si>
    <t>kumarramanathy@yahoo.ca</t>
  </si>
  <si>
    <t>shidispiff@gmail.com</t>
  </si>
  <si>
    <t>London</t>
  </si>
  <si>
    <t>marcpeloso5@gmail.com</t>
  </si>
  <si>
    <t>Guelph</t>
  </si>
  <si>
    <t>yakitnahs@gmail.com</t>
  </si>
  <si>
    <t>Scarborough</t>
  </si>
  <si>
    <t>nagesan.d.92@gmail.com</t>
  </si>
  <si>
    <t>ramisa.c@hotmail.com</t>
  </si>
  <si>
    <t>surajshah2215@gmail.com</t>
  </si>
  <si>
    <t>info@proassist.ca</t>
  </si>
  <si>
    <t>jpreetkaur98@gmail.com</t>
  </si>
  <si>
    <t>Wamiq</t>
  </si>
  <si>
    <t>519-694-1092</t>
  </si>
  <si>
    <t>wamiqhasanzada@gmail.com</t>
  </si>
  <si>
    <t>Fawad</t>
  </si>
  <si>
    <t>fawwad.zaman@gmail.com</t>
  </si>
  <si>
    <t>Pickering</t>
  </si>
  <si>
    <t>Amir</t>
  </si>
  <si>
    <t>Hakemi</t>
  </si>
  <si>
    <t>amirali.hakemi@gmail.com</t>
  </si>
  <si>
    <t>Freisen</t>
  </si>
  <si>
    <t>trudyfreisen060@gmail.com</t>
  </si>
  <si>
    <t>Charu</t>
  </si>
  <si>
    <t>Verma</t>
  </si>
  <si>
    <t>homesbycharuv@gmail.com</t>
  </si>
  <si>
    <t>Simmer</t>
  </si>
  <si>
    <t>416-779-9292</t>
  </si>
  <si>
    <t>lilsimo2@hotmail.com</t>
  </si>
  <si>
    <t>Ariwoola</t>
  </si>
  <si>
    <t>Faith</t>
  </si>
  <si>
    <r>
      <rPr>
        <color rgb="FF1155CC"/>
        <u/>
      </rPr>
      <t>bummyobanawu@gmail.com</t>
    </r>
  </si>
  <si>
    <t>Sagharichi</t>
  </si>
  <si>
    <t>Mojgan</t>
  </si>
  <si>
    <t>905-616-4171</t>
  </si>
  <si>
    <r>
      <rPr>
        <color rgb="FF1155CC"/>
        <u/>
      </rPr>
      <t>mojgansagharichi@gmail.com</t>
    </r>
  </si>
  <si>
    <t>Suntharalingam</t>
  </si>
  <si>
    <t>Ashanth</t>
  </si>
  <si>
    <r>
      <rPr>
        <color rgb="FF1155CC"/>
        <u/>
      </rPr>
      <t>ashanth3003@gmail.com</t>
    </r>
  </si>
  <si>
    <t>Bharath</t>
  </si>
  <si>
    <t>bharathgowda.mr@gmail.com</t>
  </si>
  <si>
    <t>Marisha</t>
  </si>
  <si>
    <t>Duffus</t>
  </si>
  <si>
    <t>mduffus@hotmail.com</t>
  </si>
  <si>
    <t>mojgansagharichi@gmail.com</t>
  </si>
  <si>
    <t>Oakville</t>
  </si>
  <si>
    <t>Simranjeet</t>
  </si>
  <si>
    <t>simransangrur04@gmail.com</t>
  </si>
  <si>
    <t>Selena</t>
  </si>
  <si>
    <t>Parisi</t>
  </si>
  <si>
    <t>selenaparisi2002@gmail.com</t>
  </si>
  <si>
    <t>Jeya</t>
  </si>
  <si>
    <t>Siva</t>
  </si>
  <si>
    <t>jeya7536@gmail.com</t>
  </si>
  <si>
    <t>Reza</t>
  </si>
  <si>
    <t>Kiani</t>
  </si>
  <si>
    <t>rzkiani@yahoo.com</t>
  </si>
  <si>
    <t>Kayleen</t>
  </si>
  <si>
    <t>Coughlin</t>
  </si>
  <si>
    <t>kayleencoughlin@hotmail.com</t>
  </si>
  <si>
    <t>Amos</t>
  </si>
  <si>
    <t>amosnico220@hotmail.com</t>
  </si>
  <si>
    <t>Sanchez</t>
  </si>
  <si>
    <t>sanchez201@hotmail.com</t>
  </si>
  <si>
    <t>Shivam</t>
  </si>
  <si>
    <t>Amin</t>
  </si>
  <si>
    <r>
      <rPr>
        <color rgb="FF1155CC"/>
        <u/>
      </rPr>
      <t>shivam97amin@outlook.com</t>
    </r>
  </si>
  <si>
    <r>
      <rPr>
        <color rgb="FF1155CC"/>
        <u/>
      </rPr>
      <t>robert_larcher@hotmail.c</t>
    </r>
    <r>
      <rPr>
        <color rgb="FF000000"/>
      </rPr>
      <t>om</t>
    </r>
  </si>
  <si>
    <t>Sturgeon Falls</t>
  </si>
  <si>
    <t>Ambion</t>
  </si>
  <si>
    <t>shirleyanne.ambion@gmail.com</t>
  </si>
  <si>
    <t>Moncton</t>
  </si>
  <si>
    <t>Jason</t>
  </si>
  <si>
    <t>Hutchin</t>
  </si>
  <si>
    <t>hutchinj@gmail.com</t>
  </si>
  <si>
    <t>Abel</t>
  </si>
  <si>
    <t>Shibeshi</t>
  </si>
  <si>
    <t>abel_fekadu@yahoo.com</t>
  </si>
  <si>
    <t>Demaria</t>
  </si>
  <si>
    <t>pauldemaria16@gmail.com</t>
  </si>
  <si>
    <t>Chanchal</t>
  </si>
  <si>
    <t>drchnchl.12@gmail.com</t>
  </si>
  <si>
    <t>Farzaneh</t>
  </si>
  <si>
    <t>Taghipoor</t>
  </si>
  <si>
    <t>taghipoirfarzaneh8@gmail.com</t>
  </si>
  <si>
    <t>Prabhat</t>
  </si>
  <si>
    <t>prabhatroutela@gmail.com</t>
  </si>
  <si>
    <t>Paul &amp; Quomena</t>
  </si>
  <si>
    <t>289-988-2961</t>
  </si>
  <si>
    <t>ladyqj777@yahoo.com</t>
  </si>
  <si>
    <t>Alicia</t>
  </si>
  <si>
    <t>Gooden</t>
  </si>
  <si>
    <t>aliciamorant3@gmail.com</t>
  </si>
  <si>
    <t>Noftle</t>
  </si>
  <si>
    <t>craig@cindyandcraig.ca</t>
  </si>
  <si>
    <t>Letishia</t>
  </si>
  <si>
    <t>tishia.m.wilson@gmail.com</t>
  </si>
  <si>
    <t>Shamso</t>
  </si>
  <si>
    <t>Farah</t>
  </si>
  <si>
    <t>647-806-5159</t>
  </si>
  <si>
    <t>shamsafarah559@gmail.com</t>
  </si>
  <si>
    <t>Shelby</t>
  </si>
  <si>
    <t>Sedgwick</t>
  </si>
  <si>
    <t>shelbysedgwick@outlook.com</t>
  </si>
  <si>
    <t>Heaten</t>
  </si>
  <si>
    <t>Mistry</t>
  </si>
  <si>
    <t>heaten.mistry@gmail.com</t>
  </si>
  <si>
    <t>Zainobia</t>
  </si>
  <si>
    <t>saira.francis@gmail.com</t>
  </si>
  <si>
    <t>Rebecca</t>
  </si>
  <si>
    <t>Winter</t>
  </si>
  <si>
    <t>molsonsally1111@gmail.com</t>
  </si>
  <si>
    <t>Isabelle</t>
  </si>
  <si>
    <t>Danef</t>
  </si>
  <si>
    <t>Isabelle.danef@gmail.com</t>
  </si>
  <si>
    <t>Safura</t>
  </si>
  <si>
    <t>Salih</t>
  </si>
  <si>
    <t>safurasalih@gmail.com</t>
  </si>
  <si>
    <t>Drozdowsky</t>
  </si>
  <si>
    <t>Jona</t>
  </si>
  <si>
    <t>Nares</t>
  </si>
  <si>
    <t>finejona@gmail.com</t>
  </si>
  <si>
    <t>Teffercia</t>
  </si>
  <si>
    <t xml:space="preserve">	Whittingham</t>
  </si>
  <si>
    <t>647-673-4935</t>
  </si>
  <si>
    <t>kerry.romain@gmail.com</t>
  </si>
  <si>
    <t>Ferdous</t>
  </si>
  <si>
    <t>Abr</t>
  </si>
  <si>
    <t>F3rdabrishamkar@yahoo.com</t>
  </si>
  <si>
    <t>Zameera</t>
  </si>
  <si>
    <t>Shaikh</t>
  </si>
  <si>
    <t>zameera.shaikh@gmail.com</t>
  </si>
  <si>
    <t>Kelm</t>
  </si>
  <si>
    <t>dimepiecegirlinfo@gmail.com</t>
  </si>
  <si>
    <t>Elaya</t>
  </si>
  <si>
    <t>Pathansaly</t>
  </si>
  <si>
    <t>Patha.elaya@gmail.com</t>
  </si>
  <si>
    <t>Godwin</t>
  </si>
  <si>
    <t>amber@maddoxmedia.ca</t>
  </si>
  <si>
    <t>Ameer</t>
  </si>
  <si>
    <t>Bando</t>
  </si>
  <si>
    <t>289-886-2533</t>
  </si>
  <si>
    <t>shredder050@gmail.com</t>
  </si>
  <si>
    <t>Laure</t>
  </si>
  <si>
    <t>647-299-6879</t>
  </si>
  <si>
    <t>lauredavis@hotmail.com</t>
  </si>
  <si>
    <t>Babatunde</t>
  </si>
  <si>
    <t>Adebayo</t>
  </si>
  <si>
    <t>gboladebayo@yahoo.co.uk</t>
  </si>
  <si>
    <t>Windsor</t>
  </si>
  <si>
    <t>Albert</t>
  </si>
  <si>
    <t>Rudasingwa</t>
  </si>
  <si>
    <t>arudasingwa@yahoo.fr</t>
  </si>
  <si>
    <t>nadeem23@live.ca</t>
  </si>
  <si>
    <t>Zdenka</t>
  </si>
  <si>
    <t>Tiserova</t>
  </si>
  <si>
    <t>zdenkapayne1@gmail.com</t>
  </si>
  <si>
    <t>Nandha</t>
  </si>
  <si>
    <t>Gunaratnam</t>
  </si>
  <si>
    <t xml:space="preserve">	homesbynandha@gmail.com</t>
  </si>
  <si>
    <t>Sumit</t>
  </si>
  <si>
    <t>thakursumit590@gmail.com</t>
  </si>
  <si>
    <t>Donnes</t>
  </si>
  <si>
    <t>Sabijon</t>
  </si>
  <si>
    <t>sabijond1@gmail.com</t>
  </si>
  <si>
    <t>Dylan</t>
  </si>
  <si>
    <t>Stephenson</t>
  </si>
  <si>
    <t>Dylanstephenson92@gmail.com</t>
  </si>
  <si>
    <t>Jenushan</t>
  </si>
  <si>
    <t>Vignaraj</t>
  </si>
  <si>
    <t xml:space="preserve">	jenushanvigna@gmail.com</t>
  </si>
  <si>
    <t>Nima</t>
  </si>
  <si>
    <t>Mohamed Ismail</t>
  </si>
  <si>
    <t>nimamismail72@gmail.com</t>
  </si>
  <si>
    <t>Den</t>
  </si>
  <si>
    <t>647-289-9598</t>
  </si>
  <si>
    <t>Stephanieden@hotmail.com</t>
  </si>
  <si>
    <t>Florence</t>
  </si>
  <si>
    <t>Benison</t>
  </si>
  <si>
    <t>florencebenison@gmail.com</t>
  </si>
  <si>
    <t>Zhanna</t>
  </si>
  <si>
    <t>Kravchenko</t>
  </si>
  <si>
    <t>zhannakravchenko@gmail.com</t>
  </si>
  <si>
    <t>Deona</t>
  </si>
  <si>
    <t>Curling</t>
  </si>
  <si>
    <t>drdeonecurling@gmail.com</t>
  </si>
  <si>
    <t>Daley</t>
  </si>
  <si>
    <t>daleyshow97@gmail.com</t>
  </si>
  <si>
    <t>Capogreco</t>
  </si>
  <si>
    <t>boydkayla123@icloud.com</t>
  </si>
  <si>
    <t xml:space="preserve">Google </t>
  </si>
  <si>
    <t>Ajay</t>
  </si>
  <si>
    <t>AJAY@TEAMA.CA</t>
  </si>
  <si>
    <t>Cambridge</t>
  </si>
  <si>
    <t>438-367-2212</t>
  </si>
  <si>
    <t>vickykotar_@icloud.com</t>
  </si>
  <si>
    <t>Montreal</t>
  </si>
  <si>
    <t>Alesha</t>
  </si>
  <si>
    <t>Anderson</t>
  </si>
  <si>
    <t>548-384-3410</t>
  </si>
  <si>
    <t>Andersonanalesia24@gmail.com</t>
  </si>
  <si>
    <t>Zaur</t>
  </si>
  <si>
    <t>Novruzov</t>
  </si>
  <si>
    <t>novruzluzaur384@gmail.com</t>
  </si>
  <si>
    <t>Kaydian</t>
  </si>
  <si>
    <t>Moreau</t>
  </si>
  <si>
    <t>kaymoreau90@outlook.com</t>
  </si>
  <si>
    <t>Teandra</t>
  </si>
  <si>
    <t>Bailey</t>
  </si>
  <si>
    <t>teandrabailey23@gmail.com</t>
  </si>
  <si>
    <t>Moretti</t>
  </si>
  <si>
    <t xml:space="preserve">	matthewmoretti@hotmail.com</t>
  </si>
  <si>
    <t>Usman</t>
  </si>
  <si>
    <t>Minhas</t>
  </si>
  <si>
    <t>usmanminhas437@gmail.com</t>
  </si>
  <si>
    <t xml:space="preserve">	Whitby</t>
  </si>
  <si>
    <t>Crystal</t>
  </si>
  <si>
    <t>Lopes</t>
  </si>
  <si>
    <t>Mommalovesmariyah@icloud.com</t>
  </si>
  <si>
    <t>muhammad@besthouses.ca</t>
  </si>
  <si>
    <t>Allwin</t>
  </si>
  <si>
    <t>Sathiyaraj</t>
  </si>
  <si>
    <t>allwiyn@gmail.com</t>
  </si>
  <si>
    <t>Sierra</t>
  </si>
  <si>
    <t>Witherspoon</t>
  </si>
  <si>
    <t>Sierrawitherspoon64@gmail.com</t>
  </si>
  <si>
    <t>Raymond</t>
  </si>
  <si>
    <t>Dang</t>
  </si>
  <si>
    <t xml:space="preserve">	905-826-6206</t>
  </si>
  <si>
    <t>Raymonddang.yu@gmail.com</t>
  </si>
  <si>
    <t>Gawdi</t>
  </si>
  <si>
    <t xml:space="preserve">	647 857 3742</t>
  </si>
  <si>
    <t>Aarongawdi@gmail.com</t>
  </si>
  <si>
    <t>Arshad</t>
  </si>
  <si>
    <t>arshadhussain29@gmail.com</t>
  </si>
  <si>
    <t>Antoinette</t>
  </si>
  <si>
    <t>Boachie</t>
  </si>
  <si>
    <t xml:space="preserve">	antoinetteboachie@gmail.com</t>
  </si>
  <si>
    <t>Shreepal</t>
  </si>
  <si>
    <t>Badami</t>
  </si>
  <si>
    <t>realtorbadami@gmail.com</t>
  </si>
  <si>
    <t>Waterdown</t>
  </si>
  <si>
    <t>Mehulkumar</t>
  </si>
  <si>
    <t>Chaudhari</t>
  </si>
  <si>
    <t>mkmay1105@gmail.com</t>
  </si>
  <si>
    <t xml:space="preserve">	Oshawa</t>
  </si>
  <si>
    <t>Zulekha</t>
  </si>
  <si>
    <t>Mawji</t>
  </si>
  <si>
    <t>zmawji@gmail.com</t>
  </si>
  <si>
    <t>Lennox</t>
  </si>
  <si>
    <t>csreso@gmail.com</t>
  </si>
  <si>
    <t>Brahmbhatt</t>
  </si>
  <si>
    <t>homeswithjayb@gmail.com</t>
  </si>
  <si>
    <t>Surabhi</t>
  </si>
  <si>
    <t>Kulkarni</t>
  </si>
  <si>
    <t>kulkarnisurabhi08@gmail.com</t>
  </si>
  <si>
    <t>Delaurentiis</t>
  </si>
  <si>
    <t>Biggernaomi4@gmail.com</t>
  </si>
  <si>
    <t xml:space="preserve">	Kevin</t>
  </si>
  <si>
    <t>Yu</t>
  </si>
  <si>
    <t>Kevinyu8@yahoo.ca</t>
  </si>
  <si>
    <t>Volney</t>
  </si>
  <si>
    <t>Douglas</t>
  </si>
  <si>
    <t>volneyd1@gmail.com</t>
  </si>
  <si>
    <t>Winston</t>
  </si>
  <si>
    <t>Carter</t>
  </si>
  <si>
    <t>wnstncrtr@yahoo.com</t>
  </si>
  <si>
    <t>Katie</t>
  </si>
  <si>
    <t>Bottineau</t>
  </si>
  <si>
    <t>437-980-4299</t>
  </si>
  <si>
    <t>katiebottineau@gmail.com</t>
  </si>
  <si>
    <t>Nabukalu</t>
  </si>
  <si>
    <t>nabzlucy@gmail.com</t>
  </si>
  <si>
    <t>Vinton</t>
  </si>
  <si>
    <t>Needham</t>
  </si>
  <si>
    <t xml:space="preserve">	Vinton9019@gmail.com</t>
  </si>
  <si>
    <t>Sukhpreet</t>
  </si>
  <si>
    <t xml:space="preserve">	Kaursukhpreet7777@gmail.com</t>
  </si>
  <si>
    <t>richardscott@gmail.com</t>
  </si>
  <si>
    <t>Syed Ather</t>
  </si>
  <si>
    <t>goodcanada1@gmail.com</t>
  </si>
  <si>
    <t>Estrella</t>
  </si>
  <si>
    <t>Martinez</t>
  </si>
  <si>
    <t>star.ame.disign@gmail.com</t>
  </si>
  <si>
    <t>226-886-4423</t>
  </si>
  <si>
    <t>harmanpreethanjra@gmail.com</t>
  </si>
  <si>
    <t>Dear</t>
  </si>
  <si>
    <t>fearsdears206@gmail.com</t>
  </si>
  <si>
    <t>Gravenhurst</t>
  </si>
  <si>
    <t>Chidindu</t>
  </si>
  <si>
    <t>Opara-Mezu</t>
  </si>
  <si>
    <t>chidinduoparamezu@gmail.com</t>
  </si>
  <si>
    <t>Aadil</t>
  </si>
  <si>
    <t>Sohail zafar</t>
  </si>
  <si>
    <t>Aadil.zafar@gmail.com</t>
  </si>
  <si>
    <t>Wesley</t>
  </si>
  <si>
    <t>Barr</t>
  </si>
  <si>
    <t xml:space="preserve">	wesley_barr_23@hotmail.com</t>
  </si>
  <si>
    <t>T</t>
  </si>
  <si>
    <t>H</t>
  </si>
  <si>
    <t xml:space="preserve">	ahaider2@bell.net</t>
  </si>
  <si>
    <t>Keith</t>
  </si>
  <si>
    <t xml:space="preserve">	Schilling</t>
  </si>
  <si>
    <t>schillingw74@gmail.com</t>
  </si>
  <si>
    <t xml:space="preserve">	Pilar</t>
  </si>
  <si>
    <t>Bansil</t>
  </si>
  <si>
    <t>pilarbansil@yahoo.ca</t>
  </si>
  <si>
    <t>Christa</t>
  </si>
  <si>
    <t>Ingabire</t>
  </si>
  <si>
    <t>drogomaria59@gmail.com</t>
  </si>
  <si>
    <t xml:space="preserve">	Carla</t>
  </si>
  <si>
    <t>Casal</t>
  </si>
  <si>
    <t>Carladios123@yahoo.com</t>
  </si>
  <si>
    <t>Larysa</t>
  </si>
  <si>
    <t>Dale-Baldwin</t>
  </si>
  <si>
    <t>larysadalebaldwin@gmail.com</t>
  </si>
  <si>
    <t>647-450-1487</t>
  </si>
  <si>
    <t>nightstar2025@outlook.com</t>
  </si>
  <si>
    <t>Ariel</t>
  </si>
  <si>
    <t>David-Mohammed</t>
  </si>
  <si>
    <t>arielsdm29@gmail.com</t>
  </si>
  <si>
    <t>Haylyn Anne Mallari</t>
  </si>
  <si>
    <t>Marquez</t>
  </si>
  <si>
    <t>anaiahleighm@gmail.com</t>
  </si>
  <si>
    <t>GTA</t>
  </si>
  <si>
    <t>Mahlet</t>
  </si>
  <si>
    <t>Argaw</t>
  </si>
  <si>
    <t>437-876-6099</t>
  </si>
  <si>
    <t>mahletabate2017@yahoo.com</t>
  </si>
  <si>
    <t>Samuel</t>
  </si>
  <si>
    <t>Asamoah</t>
  </si>
  <si>
    <t>647-393-3410</t>
  </si>
  <si>
    <t>Kojo82@hotmail.com</t>
  </si>
  <si>
    <t xml:space="preserve">	Lilian</t>
  </si>
  <si>
    <t>Ricomini</t>
  </si>
  <si>
    <t>Marie</t>
  </si>
  <si>
    <t>Gilopoulos</t>
  </si>
  <si>
    <t>marie@realtyonegroupreveal.ca</t>
  </si>
  <si>
    <t xml:space="preserve">	Arijun</t>
  </si>
  <si>
    <t>S</t>
  </si>
  <si>
    <t>arijunsekar093@gmail.com</t>
  </si>
  <si>
    <t>Jagadish</t>
  </si>
  <si>
    <t>Kothapalli</t>
  </si>
  <si>
    <t>realtorjagadishvarma@gmail.com</t>
  </si>
  <si>
    <t>Caren</t>
  </si>
  <si>
    <t xml:space="preserve">	Reggie</t>
  </si>
  <si>
    <t>mkashaurimashingia@gmail.com</t>
  </si>
  <si>
    <t>Kaju</t>
  </si>
  <si>
    <t>Katu</t>
  </si>
  <si>
    <t>kajurukatungutere@gmail.com</t>
  </si>
  <si>
    <t xml:space="preserve">	Ajax</t>
  </si>
  <si>
    <t xml:space="preserve">	Minh</t>
  </si>
  <si>
    <t>416 880-8258</t>
  </si>
  <si>
    <t>Cheaponeviet@gmail.com</t>
  </si>
  <si>
    <t>Erika</t>
  </si>
  <si>
    <t>Russic</t>
  </si>
  <si>
    <t>amandarussic@yahoo.com</t>
  </si>
  <si>
    <t>Hooversville</t>
  </si>
  <si>
    <t>Karena</t>
  </si>
  <si>
    <t>Gordon</t>
  </si>
  <si>
    <t>Karenagordon8@gmail.com</t>
  </si>
  <si>
    <t>York</t>
  </si>
  <si>
    <t>Kearns</t>
  </si>
  <si>
    <t>deanna.johnston.kearns@gmail.com</t>
  </si>
  <si>
    <t>Roseneath</t>
  </si>
  <si>
    <t>Kolida</t>
  </si>
  <si>
    <t>Darlenekolida0@gmail.com</t>
  </si>
  <si>
    <t>Madonna</t>
  </si>
  <si>
    <t>Okwara</t>
  </si>
  <si>
    <t>ndukwemadonna@yahoo.com</t>
  </si>
  <si>
    <t>Durham</t>
  </si>
  <si>
    <t>Shyanne</t>
  </si>
  <si>
    <t>Grant</t>
  </si>
  <si>
    <t>shyanne.shante.grant@gmail.com</t>
  </si>
  <si>
    <t xml:space="preserve">	Pickering</t>
  </si>
  <si>
    <t>Annissa</t>
  </si>
  <si>
    <t xml:space="preserve">	annissa.n26@gmail.com</t>
  </si>
  <si>
    <t xml:space="preserve">	Dickson</t>
  </si>
  <si>
    <t>ambert1325@gmail.com</t>
  </si>
  <si>
    <t xml:space="preserve">	Tsegazeab</t>
  </si>
  <si>
    <t xml:space="preserve">	dinaratatsegazeab@gmail.com</t>
  </si>
  <si>
    <t>Winnipeg</t>
  </si>
  <si>
    <t>Faryal</t>
  </si>
  <si>
    <t>Rafiq</t>
  </si>
  <si>
    <t>Faryal25dec@hotmail.com</t>
  </si>
  <si>
    <t>Lindsay</t>
  </si>
  <si>
    <t xml:space="preserve">	Abrham yohannes</t>
  </si>
  <si>
    <t>Mekonnen</t>
  </si>
  <si>
    <t>437-961-2679</t>
  </si>
  <si>
    <t>abrhamyohannes31@gmail.com</t>
  </si>
  <si>
    <t>Ontario</t>
  </si>
  <si>
    <t>Breanna</t>
  </si>
  <si>
    <t xml:space="preserve">	Breannabrown2022@gmail.com</t>
  </si>
  <si>
    <t>Angus</t>
  </si>
  <si>
    <t>Paulina</t>
  </si>
  <si>
    <t xml:space="preserve">	Tierney</t>
  </si>
  <si>
    <t xml:space="preserve">	810-982-6853</t>
  </si>
  <si>
    <t>Pat.Roy@nullafeugiat.eu</t>
  </si>
  <si>
    <t>lansing</t>
  </si>
  <si>
    <t>Margaret</t>
  </si>
  <si>
    <t>Oneill</t>
  </si>
  <si>
    <t>maggie.oneill1965@outlook.com</t>
  </si>
  <si>
    <t>Ashburn</t>
  </si>
  <si>
    <t>g.mustafaa@yahoo.com</t>
  </si>
  <si>
    <t>Ma</t>
  </si>
  <si>
    <t>647-988-3112</t>
  </si>
  <si>
    <t>mc8838@yahoo.ca</t>
  </si>
  <si>
    <t>Kalasia</t>
  </si>
  <si>
    <t>baileykalasia@gmail.com</t>
  </si>
  <si>
    <t>gameinsighter07@gmail.com</t>
  </si>
  <si>
    <t>Mat</t>
  </si>
  <si>
    <t>Wojtas</t>
  </si>
  <si>
    <t xml:space="preserve">	ontariohomerealtor@gmail.com</t>
  </si>
  <si>
    <t>Keval</t>
  </si>
  <si>
    <t>keval7126@gmail.com</t>
  </si>
  <si>
    <t>Vess</t>
  </si>
  <si>
    <t>Todorov</t>
  </si>
  <si>
    <t>vesselin.t@yahoo.com</t>
  </si>
  <si>
    <t>Stuti</t>
  </si>
  <si>
    <t>Agarwal</t>
  </si>
  <si>
    <t>stuti.agarwal2711@gmail.com</t>
  </si>
  <si>
    <t>Ankush</t>
  </si>
  <si>
    <t>ankushsharma9914@gmail.com</t>
  </si>
  <si>
    <t>Juweriya</t>
  </si>
  <si>
    <t>sufiannoman79@gmail.com</t>
  </si>
  <si>
    <t>Tristan</t>
  </si>
  <si>
    <t>Holder</t>
  </si>
  <si>
    <t>tristanholder1@hotmail.ca</t>
  </si>
  <si>
    <t>Ramona</t>
  </si>
  <si>
    <t>Soligo</t>
  </si>
  <si>
    <t>simplewoman35@hotmail.com</t>
  </si>
  <si>
    <t>Marien</t>
  </si>
  <si>
    <t>Marieninvestissement@gmail.com</t>
  </si>
  <si>
    <t>Drummondville</t>
  </si>
  <si>
    <t>Joweria</t>
  </si>
  <si>
    <t>Nakato</t>
  </si>
  <si>
    <t xml:space="preserve">	nakatojoweria1992@gmail.com</t>
  </si>
  <si>
    <t>Varun</t>
  </si>
  <si>
    <t>Suba</t>
  </si>
  <si>
    <t>647-885-7282</t>
  </si>
  <si>
    <t>Varunslisting@gmail.com</t>
  </si>
  <si>
    <t>Ben Immanuel Jha</t>
  </si>
  <si>
    <t>Mahesh Siro Jha</t>
  </si>
  <si>
    <t>benimman@gmail.com</t>
  </si>
  <si>
    <t>Nighty</t>
  </si>
  <si>
    <t>Okot</t>
  </si>
  <si>
    <t>Achienokot4@gmail.com</t>
  </si>
  <si>
    <t xml:space="preserve">	Jean</t>
  </si>
  <si>
    <t>Levy</t>
  </si>
  <si>
    <t>905-391-6843</t>
  </si>
  <si>
    <t>Jeanlevy7@gmail.com</t>
  </si>
  <si>
    <t>Vish</t>
  </si>
  <si>
    <t>realtorvish@gmail.com</t>
  </si>
  <si>
    <t>Lola</t>
  </si>
  <si>
    <t>sho.scholar@gmail.com</t>
  </si>
  <si>
    <t>La Fleur</t>
  </si>
  <si>
    <t>Aayush</t>
  </si>
  <si>
    <t>Sachdeva</t>
  </si>
  <si>
    <t>Buywithaayush@gmail.com</t>
  </si>
  <si>
    <t>Shola</t>
  </si>
  <si>
    <t>Odunuga</t>
  </si>
  <si>
    <t>winifredodunuga2@gmail.com</t>
  </si>
  <si>
    <t>Amy</t>
  </si>
  <si>
    <t>Skidoo1993x@gmail.com</t>
  </si>
  <si>
    <t>Parsons Pond</t>
  </si>
  <si>
    <t>Aleem</t>
  </si>
  <si>
    <t>Shareef</t>
  </si>
  <si>
    <t>437-986-5611</t>
  </si>
  <si>
    <t>aleemshareef2019@gmail.com</t>
  </si>
  <si>
    <t>Moscato</t>
  </si>
  <si>
    <t>647-938-2791</t>
  </si>
  <si>
    <t xml:space="preserve">	Pmoscato@outlook.com</t>
  </si>
  <si>
    <t xml:space="preserve">	Linda</t>
  </si>
  <si>
    <t xml:space="preserve">	Greco</t>
  </si>
  <si>
    <t>lingreco@hotmail.com</t>
  </si>
  <si>
    <t>Sum</t>
  </si>
  <si>
    <t>kaso_1@hotmail..com</t>
  </si>
  <si>
    <t>Cherry</t>
  </si>
  <si>
    <t xml:space="preserve">	Tugaoen</t>
  </si>
  <si>
    <t>cherry.tugaoen@yahoo.com</t>
  </si>
  <si>
    <t>Asha</t>
  </si>
  <si>
    <t xml:space="preserve">	Ali</t>
  </si>
  <si>
    <t>647-806-8904</t>
  </si>
  <si>
    <t xml:space="preserve">	ali.asha04@gmail.com</t>
  </si>
  <si>
    <t xml:space="preserve">	Toronto</t>
  </si>
  <si>
    <t>647-542-5374</t>
  </si>
  <si>
    <t>Harika</t>
  </si>
  <si>
    <t xml:space="preserve">	harikakizilaslan@gmail.com</t>
  </si>
  <si>
    <t>Shubham</t>
  </si>
  <si>
    <t xml:space="preserve">	shubhammukerian1@gmail.com</t>
  </si>
  <si>
    <t>Praveen</t>
  </si>
  <si>
    <t>praveen.grider@gmail.com</t>
  </si>
  <si>
    <t>Shobha</t>
  </si>
  <si>
    <t>Rt</t>
  </si>
  <si>
    <t xml:space="preserve">	shobha.grider@gmail.com</t>
  </si>
  <si>
    <t>Reham</t>
  </si>
  <si>
    <t>Alshrafi</t>
  </si>
  <si>
    <t>Rehamalshrafi@outlook.com</t>
  </si>
  <si>
    <t>Shar</t>
  </si>
  <si>
    <t>W</t>
  </si>
  <si>
    <t>jafeicasw@gmail.com</t>
  </si>
  <si>
    <t xml:space="preserve">	Luke</t>
  </si>
  <si>
    <t>Southwell</t>
  </si>
  <si>
    <t>L.glendinning98@hotmail.com</t>
  </si>
  <si>
    <t>Mansi</t>
  </si>
  <si>
    <t>647-637-8108</t>
  </si>
  <si>
    <t>Mansi.p.patel017@gmail.com</t>
  </si>
  <si>
    <t xml:space="preserve">	Millicent</t>
  </si>
  <si>
    <t>647-303-4347</t>
  </si>
  <si>
    <t>millimarry7@gmail.com</t>
  </si>
  <si>
    <t>905-449-5610</t>
  </si>
  <si>
    <t xml:space="preserve">	Slmichelins@gmail.com</t>
  </si>
  <si>
    <t>Cassandra</t>
  </si>
  <si>
    <t>Lombardi</t>
  </si>
  <si>
    <t>647-998-2504</t>
  </si>
  <si>
    <t>cassandra.lombardi@gmail.com</t>
  </si>
  <si>
    <t>new tecumseth</t>
  </si>
  <si>
    <t>Jeanna</t>
  </si>
  <si>
    <t>Mangubat</t>
  </si>
  <si>
    <t>647-861-2048</t>
  </si>
  <si>
    <t>jmcmangubat@gmail.com</t>
  </si>
  <si>
    <t>Ash</t>
  </si>
  <si>
    <t>Chitrala</t>
  </si>
  <si>
    <t>416-576-8491</t>
  </si>
  <si>
    <t>ash52699@hotmail.com</t>
  </si>
  <si>
    <t>Paris</t>
  </si>
  <si>
    <t>Elmi</t>
  </si>
  <si>
    <t>416-820-2413</t>
  </si>
  <si>
    <t>parastouelmi@hotmail.com</t>
  </si>
  <si>
    <t>Holland landing</t>
  </si>
  <si>
    <t>Meriem</t>
  </si>
  <si>
    <t>Imam</t>
  </si>
  <si>
    <t>416-317-6451</t>
  </si>
  <si>
    <t>meriemmimam@gmail.com</t>
  </si>
  <si>
    <t>Khoumbare</t>
  </si>
  <si>
    <t>Diagana</t>
  </si>
  <si>
    <t>416-521-5017</t>
  </si>
  <si>
    <t>khoumbared@gmail.com</t>
  </si>
  <si>
    <t>Marzook</t>
  </si>
  <si>
    <t>Rauf</t>
  </si>
  <si>
    <t>416-624-9811</t>
  </si>
  <si>
    <t xml:space="preserve">	marzookrauf@gmail.com</t>
  </si>
  <si>
    <t>Asfaha</t>
  </si>
  <si>
    <t>Hagos</t>
  </si>
  <si>
    <t>647-640-7976</t>
  </si>
  <si>
    <t>Asfahabahta@gmail.com</t>
  </si>
  <si>
    <t>416-471-6508</t>
  </si>
  <si>
    <t>Jafeicasw@gmail.com</t>
  </si>
  <si>
    <t>Syed Shahan</t>
  </si>
  <si>
    <t xml:space="preserve">	647-774-1419</t>
  </si>
  <si>
    <t>Syedshahan227@gmail.com</t>
  </si>
  <si>
    <t>Birse</t>
  </si>
  <si>
    <t>519-217-5590</t>
  </si>
  <si>
    <t>hannah.birse@icloud.com</t>
  </si>
  <si>
    <t>Shelburne</t>
  </si>
  <si>
    <t>Sheena</t>
  </si>
  <si>
    <t>437-240-3515</t>
  </si>
  <si>
    <t>sheenasstuff85@gmail.com</t>
  </si>
  <si>
    <t>Newmarket</t>
  </si>
  <si>
    <t>Sidhartha</t>
  </si>
  <si>
    <t xml:space="preserve">	Sukhvasi</t>
  </si>
  <si>
    <t xml:space="preserve">	437-421-4155</t>
  </si>
  <si>
    <t>sidhartha.sukhvasi@outlook.com</t>
  </si>
  <si>
    <t>Saggu</t>
  </si>
  <si>
    <t>905-799-7000</t>
  </si>
  <si>
    <t>paramount.admin@century21.ca</t>
  </si>
  <si>
    <t>Youssef</t>
  </si>
  <si>
    <t>416-845-5072</t>
  </si>
  <si>
    <t xml:space="preserve">	Teresayoussef3@gmail.com</t>
  </si>
  <si>
    <t>Sengul</t>
  </si>
  <si>
    <t>Ismailovski</t>
  </si>
  <si>
    <t>437-999-3146</t>
  </si>
  <si>
    <t xml:space="preserve">	Sengul.ism93@outlook.com</t>
  </si>
  <si>
    <t>Jai</t>
  </si>
  <si>
    <t xml:space="preserve">	Pershad</t>
  </si>
  <si>
    <t>pershadp@yahoo.ca</t>
  </si>
  <si>
    <t>Alecia</t>
  </si>
  <si>
    <t>Henningham</t>
  </si>
  <si>
    <t xml:space="preserve">	misshamilton22@gmail.com</t>
  </si>
  <si>
    <t xml:space="preserve">	MUHAMMAD ALI</t>
  </si>
  <si>
    <t>SYED</t>
  </si>
  <si>
    <t>alialisyed@hotmail.com</t>
  </si>
  <si>
    <t>Aderonke</t>
  </si>
  <si>
    <t>Olubunmi</t>
  </si>
  <si>
    <t>deronkeolubunmi@gmail.com</t>
  </si>
  <si>
    <t>Hill</t>
  </si>
  <si>
    <t>Chosen.801015@gmail.com</t>
  </si>
  <si>
    <t>Neerav</t>
  </si>
  <si>
    <t>Suneja</t>
  </si>
  <si>
    <t>suneja.neerav97@gmail.com</t>
  </si>
  <si>
    <t>Roache</t>
  </si>
  <si>
    <t>(416) 937-6822</t>
  </si>
  <si>
    <t xml:space="preserve">	jvroache@gmail.com</t>
  </si>
  <si>
    <t>Sajjad</t>
  </si>
  <si>
    <t xml:space="preserve">	ali.sajjad.hus@gmail.com</t>
  </si>
  <si>
    <t>Michelle</t>
  </si>
  <si>
    <t>LaBrie</t>
  </si>
  <si>
    <t>905-330-3129</t>
  </si>
  <si>
    <t>m-labrie@hotmail.com</t>
  </si>
  <si>
    <t>L</t>
  </si>
  <si>
    <t xml:space="preserve">	(647) 309-9268</t>
  </si>
  <si>
    <t>elee90095@gmail.com</t>
  </si>
  <si>
    <t xml:space="preserve">	Precious</t>
  </si>
  <si>
    <t>Govere</t>
  </si>
  <si>
    <t>gpsalm18@gmail.com</t>
  </si>
  <si>
    <t>Sonia</t>
  </si>
  <si>
    <t>Dolfus</t>
  </si>
  <si>
    <t>dolfussonia@gmail.com</t>
  </si>
  <si>
    <t>RAISINGHANI</t>
  </si>
  <si>
    <t>416-617-0055</t>
  </si>
  <si>
    <t>Harry.remaxgold@gmail.com</t>
  </si>
  <si>
    <t>Basha</t>
  </si>
  <si>
    <t>705 313 5388</t>
  </si>
  <si>
    <t>kminab@gmail.com</t>
  </si>
  <si>
    <t xml:space="preserve">	Priyanash</t>
  </si>
  <si>
    <t xml:space="preserve">	Koul</t>
  </si>
  <si>
    <t xml:space="preserve">	ykoul26@gmail.com</t>
  </si>
  <si>
    <t>Sapna</t>
  </si>
  <si>
    <t xml:space="preserve">	sapna.sharma.peng@gmail.com</t>
  </si>
  <si>
    <t>Aqil</t>
  </si>
  <si>
    <t>shinwari</t>
  </si>
  <si>
    <t>aqilshinwari181@gmail.com</t>
  </si>
  <si>
    <t>Salman</t>
  </si>
  <si>
    <t xml:space="preserve">	salman.786@hotmail.ca</t>
  </si>
  <si>
    <t>Ryley</t>
  </si>
  <si>
    <t>Monette</t>
  </si>
  <si>
    <t>ryleymonetteyt@gmail.com</t>
  </si>
  <si>
    <t>Whitchurch-Stouffville</t>
  </si>
  <si>
    <t>Cajetan</t>
  </si>
  <si>
    <t>Rodrigues</t>
  </si>
  <si>
    <t>cajetanr9@gmail.com</t>
  </si>
  <si>
    <t xml:space="preserve">	Courtice</t>
  </si>
  <si>
    <t>Sarah</t>
  </si>
  <si>
    <t xml:space="preserve">	thompson.sarahh61@gmail.com</t>
  </si>
  <si>
    <t>Vignesh</t>
  </si>
  <si>
    <t>Nagarajan</t>
  </si>
  <si>
    <t>Vignesh.nagarajan20@gmail.com</t>
  </si>
  <si>
    <t xml:space="preserve">	Rodrigues</t>
  </si>
  <si>
    <t>Courtice</t>
  </si>
  <si>
    <t>Kevin</t>
  </si>
  <si>
    <t>Kpersaud1995@gmail.com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</si>
</sst>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##-###-####"/>
    <numFmt numFmtId="165" formatCode="mmmm d, yyyy"/>
    <numFmt numFmtId="166" formatCode="mmmm d ,yyyy"/>
    <numFmt numFmtId="167" formatCode="M/d/yyyy"/>
    <numFmt numFmtId="168" formatCode="m/d/yyyy"/>
    <numFmt numFmtId="169" formatCode="mm/dd/yyyy"/>
  </numFmts>
  <fonts count="37">
    <font>
      <sz val="10.0"/>
      <color rgb="FF000000"/>
      <name val="Georgia"/>
      <scheme val="minor"/>
    </font>
    <font>
      <sz val="8.0"/>
      <color rgb="FF000000"/>
      <name val="&quot;Helvetica Neue&quot;"/>
    </font>
    <font>
      <sz val="8.0"/>
      <color theme="1"/>
      <name val="&quot;Helvetica Neue&quot;"/>
    </font>
    <font>
      <u/>
      <sz val="8.0"/>
      <color rgb="FF0000FF"/>
      <name val="&quot;Helvetica Neue&quot;"/>
    </font>
    <font>
      <color rgb="FF000000"/>
      <name val="Georgia"/>
      <scheme val="minor"/>
    </font>
    <font>
      <color theme="1"/>
      <name val="Georgia"/>
      <scheme val="minor"/>
    </font>
    <font>
      <b/>
      <sz val="10.0"/>
      <color rgb="FF000000"/>
      <name val="Roboto"/>
    </font>
    <font>
      <b/>
      <sz val="13.0"/>
      <color rgb="FF1C4587"/>
      <name val="Roboto"/>
    </font>
    <font>
      <color theme="1"/>
      <name val="Roboto"/>
    </font>
    <font>
      <u/>
      <color rgb="FF0000FF"/>
      <name val="Roboto"/>
    </font>
    <font>
      <color rgb="FF434343"/>
      <name val="Roboto"/>
    </font>
    <font>
      <color rgb="FF071924"/>
      <name val="Roboto"/>
    </font>
    <font>
      <color theme="1"/>
      <name val="Arial"/>
    </font>
    <font>
      <u/>
      <color rgb="FF434343"/>
      <name val="Roboto"/>
    </font>
    <font>
      <sz val="12.0"/>
      <color rgb="FF1C2B33"/>
      <name val="Arial"/>
    </font>
    <font>
      <color rgb="FF000000"/>
      <name val="Roboto"/>
    </font>
    <font>
      <color theme="1"/>
      <name val="Georgia"/>
    </font>
    <font>
      <color rgb="FF071924"/>
      <name val="Georgia"/>
    </font>
    <font>
      <sz val="10.0"/>
      <color theme="1"/>
      <name val="Georgia"/>
    </font>
    <font>
      <sz val="10.0"/>
      <color theme="1"/>
      <name val="Arial"/>
    </font>
    <font>
      <sz val="10.0"/>
      <color rgb="FF071924"/>
      <name val="Arial"/>
    </font>
    <font>
      <color rgb="FF222222"/>
      <name val="Arial"/>
    </font>
    <font>
      <sz val="10.0"/>
      <color rgb="FF222222"/>
      <name val="Arial"/>
    </font>
    <font>
      <sz val="9.0"/>
      <color rgb="FF222222"/>
      <name val="Arial"/>
    </font>
    <font>
      <u/>
      <color rgb="FF0000FF"/>
    </font>
    <font>
      <u/>
      <color rgb="FF222222"/>
      <name val="Arial"/>
    </font>
    <font>
      <sz val="10.0"/>
      <color rgb="FF071924"/>
      <name val="Roboto"/>
    </font>
    <font>
      <sz val="9.0"/>
      <color rgb="FF071924"/>
      <name val="Arial"/>
    </font>
    <font>
      <u/>
      <color rgb="FF0000FF"/>
    </font>
    <font>
      <color rgb="FF000000"/>
      <name val="Arial"/>
    </font>
    <font>
      <sz val="11.0"/>
      <color rgb="FF212121"/>
      <name val="Calibri"/>
    </font>
    <font>
      <sz val="9.0"/>
      <color rgb="FF212121"/>
      <name val="Arial"/>
    </font>
    <font>
      <sz val="10.0"/>
      <color rgb="FF212121"/>
      <name val="Arial"/>
    </font>
    <font>
      <sz val="11.0"/>
      <color rgb="FF212121"/>
      <name val="Wf_segoe-ui_normal"/>
    </font>
    <font>
      <sz val="11.0"/>
      <color rgb="FF071924"/>
      <name val="Wf_segoe-ui_normal"/>
    </font>
    <font>
      <sz val="10.0"/>
      <color theme="1"/>
      <name val="Roboto"/>
    </font>
    <font>
      <u/>
      <color theme="1"/>
      <name val="Georgia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CF4F5"/>
        <bgColor rgb="FFFCF4F5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1" numFmtId="11" xfId="0" applyAlignment="1" applyBorder="1" applyFont="1" applyNumberFormat="1">
      <alignment readingOrder="0" vertical="top"/>
    </xf>
    <xf borderId="1" fillId="0" fontId="1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right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10" numFmtId="0" xfId="0" applyAlignment="1" applyFill="1" applyFont="1">
      <alignment horizontal="center" shrinkToFit="0" wrapText="0"/>
    </xf>
    <xf borderId="2" fillId="2" fontId="10" numFmtId="0" xfId="0" applyAlignment="1" applyBorder="1" applyFont="1">
      <alignment horizontal="center" shrinkToFit="0" wrapText="0"/>
    </xf>
    <xf borderId="2" fillId="2" fontId="10" numFmtId="0" xfId="0" applyAlignment="1" applyBorder="1" applyFont="1">
      <alignment shrinkToFit="0" wrapText="0"/>
    </xf>
    <xf borderId="2" fillId="2" fontId="10" numFmtId="164" xfId="0" applyAlignment="1" applyBorder="1" applyFont="1" applyNumberFormat="1">
      <alignment shrinkToFit="0" wrapText="0"/>
    </xf>
    <xf borderId="2" fillId="2" fontId="10" numFmtId="0" xfId="0" applyAlignment="1" applyBorder="1" applyFont="1">
      <alignment horizontal="right" shrinkToFit="0" wrapText="0"/>
    </xf>
    <xf borderId="2" fillId="2" fontId="8" numFmtId="0" xfId="0" applyBorder="1" applyFont="1"/>
    <xf borderId="2" fillId="2" fontId="11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shrinkToFit="0" wrapText="1"/>
    </xf>
    <xf borderId="0" fillId="2" fontId="8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wrapText="0"/>
    </xf>
    <xf borderId="1" fillId="2" fontId="10" numFmtId="0" xfId="0" applyAlignment="1" applyBorder="1" applyFont="1">
      <alignment shrinkToFit="0" wrapText="0"/>
    </xf>
    <xf borderId="1" fillId="2" fontId="10" numFmtId="164" xfId="0" applyAlignment="1" applyBorder="1" applyFont="1" applyNumberFormat="1">
      <alignment shrinkToFit="0" wrapText="0"/>
    </xf>
    <xf borderId="1" fillId="2" fontId="10" numFmtId="0" xfId="0" applyAlignment="1" applyBorder="1" applyFont="1">
      <alignment horizontal="right" shrinkToFit="0" wrapText="0"/>
    </xf>
    <xf borderId="1" fillId="2" fontId="8" numFmtId="0" xfId="0" applyBorder="1" applyFont="1"/>
    <xf borderId="0" fillId="2" fontId="10" numFmtId="0" xfId="0" applyAlignment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2" fontId="10" numFmtId="164" xfId="0" applyAlignment="1" applyBorder="1" applyFont="1" applyNumberFormat="1">
      <alignment shrinkToFit="0" vertical="center" wrapText="0"/>
    </xf>
    <xf borderId="1" fillId="2" fontId="10" numFmtId="0" xfId="0" applyAlignment="1" applyBorder="1" applyFont="1">
      <alignment horizontal="right" shrinkToFit="0" vertical="center" wrapText="0"/>
    </xf>
    <xf borderId="1" fillId="2" fontId="8" numFmtId="0" xfId="0" applyAlignment="1" applyBorder="1" applyFont="1">
      <alignment vertical="center"/>
    </xf>
    <xf borderId="1" fillId="2" fontId="8" numFmtId="0" xfId="0" applyAlignment="1" applyBorder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1" fillId="2" fontId="11" numFmtId="0" xfId="0" applyAlignment="1" applyBorder="1" applyFont="1">
      <alignment readingOrder="0" shrinkToFit="0" wrapText="1"/>
    </xf>
    <xf borderId="3" fillId="2" fontId="10" numFmtId="0" xfId="0" applyAlignment="1" applyBorder="1" applyFont="1">
      <alignment horizontal="center" shrinkToFit="0" wrapText="0"/>
    </xf>
    <xf borderId="3" fillId="2" fontId="10" numFmtId="0" xfId="0" applyAlignment="1" applyBorder="1" applyFont="1">
      <alignment shrinkToFit="0" wrapText="0"/>
    </xf>
    <xf borderId="3" fillId="2" fontId="10" numFmtId="164" xfId="0" applyAlignment="1" applyBorder="1" applyFont="1" applyNumberFormat="1">
      <alignment shrinkToFit="0" wrapText="0"/>
    </xf>
    <xf borderId="3" fillId="2" fontId="10" numFmtId="0" xfId="0" applyAlignment="1" applyBorder="1" applyFont="1">
      <alignment horizontal="right" shrinkToFit="0" wrapText="0"/>
    </xf>
    <xf borderId="3" fillId="2" fontId="8" numFmtId="0" xfId="0" applyBorder="1" applyFont="1"/>
    <xf borderId="3" fillId="2" fontId="8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wrapText="0"/>
    </xf>
    <xf borderId="4" fillId="2" fontId="10" numFmtId="0" xfId="0" applyAlignment="1" applyBorder="1" applyFont="1">
      <alignment shrinkToFit="0" wrapText="0"/>
    </xf>
    <xf borderId="4" fillId="2" fontId="10" numFmtId="164" xfId="0" applyAlignment="1" applyBorder="1" applyFont="1" applyNumberFormat="1">
      <alignment shrinkToFit="0" wrapText="0"/>
    </xf>
    <xf borderId="4" fillId="2" fontId="10" numFmtId="0" xfId="0" applyAlignment="1" applyBorder="1" applyFont="1">
      <alignment horizontal="right" shrinkToFit="0" wrapText="0"/>
    </xf>
    <xf borderId="4" fillId="2" fontId="8" numFmtId="0" xfId="0" applyBorder="1" applyFont="1"/>
    <xf borderId="1" fillId="0" fontId="8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2" fontId="13" numFmtId="0" xfId="0" applyAlignment="1" applyBorder="1" applyFont="1">
      <alignment horizontal="right" shrinkToFit="0" wrapText="0"/>
    </xf>
    <xf borderId="1" fillId="0" fontId="12" numFmtId="0" xfId="0" applyAlignment="1" applyBorder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" fillId="0" fontId="11" numFmtId="0" xfId="0" applyAlignment="1" applyBorder="1" applyFont="1">
      <alignment readingOrder="0" shrinkToFit="0" vertical="bottom" wrapText="1"/>
    </xf>
    <xf borderId="0" fillId="2" fontId="10" numFmtId="0" xfId="0" applyAlignment="1" applyFont="1">
      <alignment horizontal="center" shrinkToFit="0" wrapText="0"/>
    </xf>
    <xf borderId="1" fillId="2" fontId="10" numFmtId="0" xfId="0" applyAlignment="1" applyBorder="1" applyFont="1">
      <alignment horizontal="center" shrinkToFit="0" wrapText="0"/>
    </xf>
    <xf borderId="1" fillId="0" fontId="8" numFmtId="0" xfId="0" applyBorder="1" applyFont="1"/>
    <xf borderId="1" fillId="0" fontId="8" numFmtId="164" xfId="0" applyBorder="1" applyFont="1" applyNumberFormat="1"/>
    <xf borderId="1" fillId="0" fontId="8" numFmtId="0" xfId="0" applyAlignment="1" applyBorder="1" applyFont="1">
      <alignment horizontal="right"/>
    </xf>
    <xf borderId="1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1" fillId="0" fontId="11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/>
    </xf>
    <xf borderId="1" fillId="0" fontId="11" numFmtId="0" xfId="0" applyAlignment="1" applyBorder="1" applyFont="1">
      <alignment horizontal="right" readingOrder="0"/>
    </xf>
    <xf borderId="0" fillId="0" fontId="11" numFmtId="165" xfId="0" applyAlignment="1" applyFont="1" applyNumberForma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 shrinkToFit="0" wrapText="0"/>
    </xf>
    <xf borderId="0" fillId="0" fontId="11" numFmtId="166" xfId="0" applyAlignment="1" applyFont="1" applyNumberFormat="1">
      <alignment horizontal="center" readingOrder="0"/>
    </xf>
    <xf borderId="1" fillId="0" fontId="11" numFmtId="164" xfId="0" applyAlignment="1" applyBorder="1" applyFont="1" applyNumberFormat="1">
      <alignment horizontal="right" readingOrder="0"/>
    </xf>
    <xf borderId="0" fillId="2" fontId="14" numFmtId="0" xfId="0" applyAlignment="1" applyFont="1">
      <alignment readingOrder="0" shrinkToFit="0" wrapText="0"/>
    </xf>
    <xf borderId="1" fillId="0" fontId="11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right" readingOrder="0"/>
    </xf>
    <xf borderId="1" fillId="2" fontId="10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right"/>
    </xf>
    <xf borderId="0" fillId="0" fontId="7" numFmtId="164" xfId="0" applyAlignment="1" applyFont="1" applyNumberFormat="1">
      <alignment horizontal="center" vertical="center"/>
    </xf>
    <xf borderId="1" fillId="0" fontId="15" numFmtId="0" xfId="0" applyAlignment="1" applyBorder="1" applyFont="1">
      <alignment horizontal="center" shrinkToFit="0" vertical="center" wrapText="0"/>
    </xf>
    <xf borderId="1" fillId="3" fontId="15" numFmtId="0" xfId="0" applyAlignment="1" applyBorder="1" applyFill="1" applyFont="1">
      <alignment horizontal="center" readingOrder="0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1" fillId="3" fontId="15" numFmtId="164" xfId="0" applyAlignment="1" applyBorder="1" applyFont="1" applyNumberFormat="1">
      <alignment horizontal="right" shrinkToFit="0" vertical="center" wrapText="0"/>
    </xf>
    <xf borderId="1" fillId="3" fontId="15" numFmtId="0" xfId="0" applyAlignment="1" applyBorder="1" applyFont="1">
      <alignment horizontal="right" shrinkToFit="0" vertical="center" wrapText="0"/>
    </xf>
    <xf borderId="0" fillId="3" fontId="15" numFmtId="0" xfId="0" applyAlignment="1" applyFont="1">
      <alignment horizontal="center" shrinkToFit="0" vertical="center" wrapText="0"/>
    </xf>
    <xf borderId="2" fillId="2" fontId="10" numFmtId="0" xfId="0" applyAlignment="1" applyBorder="1" applyFont="1">
      <alignment horizontal="center" shrinkToFit="0" wrapText="0"/>
    </xf>
    <xf borderId="2" fillId="2" fontId="10" numFmtId="164" xfId="0" applyAlignment="1" applyBorder="1" applyFont="1" applyNumberFormat="1">
      <alignment horizontal="right" shrinkToFit="0" wrapText="0"/>
    </xf>
    <xf borderId="1" fillId="4" fontId="16" numFmtId="0" xfId="0" applyAlignment="1" applyBorder="1" applyFill="1" applyFont="1">
      <alignment horizontal="center" vertical="bottom"/>
    </xf>
    <xf borderId="0" fillId="4" fontId="16" numFmtId="0" xfId="0" applyAlignment="1" applyFont="1">
      <alignment horizontal="center" vertical="bottom"/>
    </xf>
    <xf borderId="0" fillId="4" fontId="16" numFmtId="0" xfId="0" applyAlignment="1" applyFont="1">
      <alignment vertical="bottom"/>
    </xf>
    <xf borderId="1" fillId="2" fontId="16" numFmtId="0" xfId="0" applyAlignment="1" applyBorder="1" applyFont="1">
      <alignment horizontal="center" vertical="bottom"/>
    </xf>
    <xf borderId="0" fillId="2" fontId="16" numFmtId="0" xfId="0" applyAlignment="1" applyFont="1">
      <alignment horizontal="center" vertical="bottom"/>
    </xf>
    <xf borderId="0" fillId="2" fontId="16" numFmtId="0" xfId="0" applyAlignment="1" applyFont="1">
      <alignment vertical="bottom"/>
    </xf>
    <xf borderId="1" fillId="5" fontId="16" numFmtId="0" xfId="0" applyAlignment="1" applyBorder="1" applyFill="1" applyFont="1">
      <alignment horizontal="center" vertical="bottom"/>
    </xf>
    <xf borderId="0" fillId="5" fontId="16" numFmtId="0" xfId="0" applyAlignment="1" applyFont="1">
      <alignment horizontal="center" vertical="bottom"/>
    </xf>
    <xf borderId="0" fillId="5" fontId="16" numFmtId="0" xfId="0" applyAlignment="1" applyFont="1">
      <alignment vertical="bottom"/>
    </xf>
    <xf borderId="0" fillId="5" fontId="17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1" fillId="5" fontId="18" numFmtId="0" xfId="0" applyAlignment="1" applyBorder="1" applyFont="1">
      <alignment horizontal="center" vertical="bottom"/>
    </xf>
    <xf borderId="0" fillId="5" fontId="18" numFmtId="0" xfId="0" applyAlignment="1" applyFont="1">
      <alignment vertical="bottom"/>
    </xf>
    <xf borderId="5" fillId="2" fontId="10" numFmtId="0" xfId="0" applyAlignment="1" applyBorder="1" applyFont="1">
      <alignment horizontal="center" shrinkToFit="0" wrapText="0"/>
    </xf>
    <xf borderId="5" fillId="2" fontId="10" numFmtId="0" xfId="0" applyAlignment="1" applyBorder="1" applyFont="1">
      <alignment shrinkToFit="0" wrapText="0"/>
    </xf>
    <xf borderId="5" fillId="2" fontId="10" numFmtId="164" xfId="0" applyAlignment="1" applyBorder="1" applyFont="1" applyNumberFormat="1">
      <alignment horizontal="right" shrinkToFit="0" wrapText="0"/>
    </xf>
    <xf borderId="5" fillId="2" fontId="10" numFmtId="0" xfId="0" applyAlignment="1" applyBorder="1" applyFont="1">
      <alignment horizontal="right" shrinkToFit="0" wrapText="0"/>
    </xf>
    <xf borderId="3" fillId="5" fontId="18" numFmtId="0" xfId="0" applyAlignment="1" applyBorder="1" applyFont="1">
      <alignment horizontal="center" vertical="bottom"/>
    </xf>
    <xf borderId="6" fillId="2" fontId="10" numFmtId="0" xfId="0" applyAlignment="1" applyBorder="1" applyFont="1">
      <alignment horizontal="center" shrinkToFit="0" wrapText="0"/>
    </xf>
    <xf borderId="6" fillId="2" fontId="10" numFmtId="0" xfId="0" applyAlignment="1" applyBorder="1" applyFont="1">
      <alignment shrinkToFit="0" wrapText="0"/>
    </xf>
    <xf borderId="6" fillId="2" fontId="10" numFmtId="164" xfId="0" applyAlignment="1" applyBorder="1" applyFont="1" applyNumberFormat="1">
      <alignment shrinkToFit="0" wrapText="0"/>
    </xf>
    <xf borderId="6" fillId="2" fontId="10" numFmtId="0" xfId="0" applyAlignment="1" applyBorder="1" applyFont="1">
      <alignment horizontal="right" shrinkToFit="0" wrapText="0"/>
    </xf>
    <xf borderId="6" fillId="5" fontId="18" numFmtId="0" xfId="0" applyAlignment="1" applyBorder="1" applyFont="1">
      <alignment horizontal="center" vertical="bottom"/>
    </xf>
    <xf borderId="0" fillId="5" fontId="18" numFmtId="0" xfId="0" applyAlignment="1" applyFont="1">
      <alignment horizontal="center" vertical="bottom"/>
    </xf>
    <xf borderId="0" fillId="0" fontId="12" numFmtId="16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2" numFmtId="164" xfId="0" applyAlignment="1" applyFont="1" applyNumberFormat="1">
      <alignment horizontal="center" vertical="bottom"/>
    </xf>
    <xf borderId="0" fillId="0" fontId="19" numFmtId="0" xfId="0" applyAlignment="1" applyFont="1">
      <alignment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center" vertical="bottom"/>
    </xf>
    <xf borderId="0" fillId="2" fontId="12" numFmtId="167" xfId="0" applyAlignment="1" applyFont="1" applyNumberFormat="1">
      <alignment horizontal="right" vertical="bottom"/>
    </xf>
    <xf borderId="0" fillId="0" fontId="12" numFmtId="0" xfId="0" applyAlignment="1" applyFont="1">
      <alignment horizontal="right"/>
    </xf>
    <xf borderId="0" fillId="0" fontId="19" numFmtId="164" xfId="0" applyAlignment="1" applyFont="1" applyNumberFormat="1">
      <alignment horizontal="right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20" numFmtId="164" xfId="0" applyAlignment="1" applyFont="1" applyNumberFormat="1">
      <alignment horizontal="right" readingOrder="0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center" readingOrder="0" vertical="bottom"/>
    </xf>
    <xf borderId="0" fillId="2" fontId="20" numFmtId="167" xfId="0" applyAlignment="1" applyFont="1" applyNumberFormat="1">
      <alignment horizontal="right" readingOrder="0" vertical="bottom"/>
    </xf>
    <xf borderId="0" fillId="2" fontId="20" numFmtId="168" xfId="0" applyAlignment="1" applyFont="1" applyNumberFormat="1">
      <alignment horizontal="right" readingOrder="0" vertical="bottom"/>
    </xf>
    <xf borderId="0" fillId="2" fontId="21" numFmtId="0" xfId="0" applyAlignment="1" applyFont="1">
      <alignment readingOrder="0"/>
    </xf>
    <xf borderId="0" fillId="2" fontId="22" numFmtId="0" xfId="0" applyAlignment="1" applyFont="1">
      <alignment readingOrder="0"/>
    </xf>
    <xf borderId="0" fillId="2" fontId="21" numFmtId="164" xfId="0" applyAlignment="1" applyFont="1" applyNumberFormat="1">
      <alignment readingOrder="0"/>
    </xf>
    <xf borderId="0" fillId="2" fontId="22" numFmtId="164" xfId="0" applyAlignment="1" applyFont="1" applyNumberFormat="1">
      <alignment horizontal="right" readingOrder="0"/>
    </xf>
    <xf borderId="0" fillId="0" fontId="20" numFmtId="0" xfId="0" applyAlignment="1" applyFont="1">
      <alignment horizontal="center" readingOrder="0" vertical="bottom"/>
    </xf>
    <xf borderId="0" fillId="2" fontId="21" numFmtId="164" xfId="0" applyAlignment="1" applyFont="1" applyNumberFormat="1">
      <alignment horizontal="right" readingOrder="0"/>
    </xf>
    <xf borderId="0" fillId="0" fontId="12" numFmtId="0" xfId="0" applyAlignment="1" applyFont="1">
      <alignment horizontal="right" readingOrder="0"/>
    </xf>
    <xf borderId="0" fillId="0" fontId="20" numFmtId="0" xfId="0" applyAlignment="1" applyFont="1">
      <alignment horizontal="right" readingOrder="0"/>
    </xf>
    <xf borderId="0" fillId="2" fontId="20" numFmtId="169" xfId="0" applyAlignment="1" applyFont="1" applyNumberFormat="1">
      <alignment horizontal="right" readingOrder="0" vertical="bottom"/>
    </xf>
    <xf borderId="0" fillId="2" fontId="20" numFmtId="0" xfId="0" applyAlignment="1" applyFont="1">
      <alignment readingOrder="0"/>
    </xf>
    <xf borderId="0" fillId="2" fontId="21" numFmtId="0" xfId="0" applyAlignment="1" applyFont="1">
      <alignment horizontal="center" readingOrder="0"/>
    </xf>
    <xf borderId="0" fillId="2" fontId="22" numFmtId="0" xfId="0" applyAlignment="1" applyFont="1">
      <alignment horizontal="center" readingOrder="0"/>
    </xf>
    <xf borderId="0" fillId="2" fontId="22" numFmtId="0" xfId="0" applyAlignment="1" applyFont="1">
      <alignment horizontal="center" readingOrder="0"/>
    </xf>
    <xf borderId="0" fillId="2" fontId="22" numFmtId="164" xfId="0" applyAlignment="1" applyFont="1" applyNumberFormat="1">
      <alignment readingOrder="0"/>
    </xf>
    <xf borderId="0" fillId="6" fontId="23" numFmtId="0" xfId="0" applyAlignment="1" applyFill="1" applyFont="1">
      <alignment readingOrder="0"/>
    </xf>
    <xf borderId="0" fillId="6" fontId="23" numFmtId="164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6" fontId="23" numFmtId="0" xfId="0" applyAlignment="1" applyFont="1">
      <alignment readingOrder="0"/>
    </xf>
    <xf borderId="0" fillId="0" fontId="26" numFmtId="0" xfId="0" applyAlignment="1" applyFont="1">
      <alignment horizontal="right" readingOrder="0"/>
    </xf>
    <xf borderId="0" fillId="6" fontId="27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29" numFmtId="0" xfId="0" applyAlignment="1" applyFont="1">
      <alignment readingOrder="0"/>
    </xf>
    <xf borderId="0" fillId="2" fontId="30" numFmtId="0" xfId="0" applyAlignment="1" applyFont="1">
      <alignment readingOrder="0"/>
    </xf>
    <xf borderId="0" fillId="2" fontId="21" numFmtId="0" xfId="0" applyAlignment="1" applyFont="1">
      <alignment horizontal="left" readingOrder="0"/>
    </xf>
    <xf borderId="0" fillId="2" fontId="22" numFmtId="0" xfId="0" applyAlignment="1" applyFont="1">
      <alignment horizontal="left" readingOrder="0"/>
    </xf>
    <xf borderId="0" fillId="2" fontId="21" numFmtId="164" xfId="0" applyAlignment="1" applyFont="1" applyNumberFormat="1">
      <alignment horizontal="left" readingOrder="0"/>
    </xf>
    <xf borderId="0" fillId="2" fontId="21" numFmtId="0" xfId="0" applyAlignment="1" applyFont="1">
      <alignment horizontal="right" readingOrder="0"/>
    </xf>
    <xf borderId="0" fillId="2" fontId="22" numFmtId="0" xfId="0" applyAlignment="1" applyFont="1">
      <alignment horizontal="right" readingOrder="0"/>
    </xf>
    <xf borderId="0" fillId="2" fontId="30" numFmtId="0" xfId="0" applyAlignment="1" applyFont="1">
      <alignment readingOrder="0"/>
    </xf>
    <xf borderId="0" fillId="2" fontId="20" numFmtId="0" xfId="0" applyAlignment="1" applyFont="1">
      <alignment horizontal="left" readingOrder="0"/>
    </xf>
    <xf borderId="0" fillId="2" fontId="22" numFmtId="0" xfId="0" applyAlignment="1" applyFont="1">
      <alignment horizontal="right" readingOrder="0"/>
    </xf>
    <xf borderId="0" fillId="2" fontId="20" numFmtId="0" xfId="0" applyAlignment="1" applyFont="1">
      <alignment horizontal="right" readingOrder="0"/>
    </xf>
    <xf borderId="0" fillId="6" fontId="31" numFmtId="0" xfId="0" applyAlignment="1" applyFont="1">
      <alignment horizontal="center" readingOrder="0"/>
    </xf>
    <xf borderId="0" fillId="6" fontId="31" numFmtId="164" xfId="0" applyAlignment="1" applyFont="1" applyNumberFormat="1">
      <alignment horizontal="center" readingOrder="0"/>
    </xf>
    <xf borderId="0" fillId="6" fontId="20" numFmtId="0" xfId="0" applyAlignment="1" applyFont="1">
      <alignment horizontal="left" readingOrder="0"/>
    </xf>
    <xf borderId="0" fillId="6" fontId="32" numFmtId="0" xfId="0" applyAlignment="1" applyFont="1">
      <alignment horizontal="left" readingOrder="0"/>
    </xf>
    <xf borderId="0" fillId="2" fontId="22" numFmtId="164" xfId="0" applyAlignment="1" applyFont="1" applyNumberFormat="1">
      <alignment horizontal="right" readingOrder="0"/>
    </xf>
    <xf borderId="0" fillId="6" fontId="32" numFmtId="0" xfId="0" applyAlignment="1" applyFont="1">
      <alignment horizontal="right" readingOrder="0"/>
    </xf>
    <xf borderId="0" fillId="6" fontId="20" numFmtId="0" xfId="0" applyAlignment="1" applyFont="1">
      <alignment horizontal="right" readingOrder="0"/>
    </xf>
    <xf borderId="0" fillId="2" fontId="33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34" numFmtId="0" xfId="0" applyAlignment="1" applyFont="1">
      <alignment readingOrder="0"/>
    </xf>
    <xf borderId="0" fillId="6" fontId="20" numFmtId="0" xfId="0" applyAlignment="1" applyFont="1">
      <alignment horizontal="right" readingOrder="0"/>
    </xf>
    <xf borderId="0" fillId="2" fontId="20" numFmtId="164" xfId="0" applyAlignment="1" applyFont="1" applyNumberFormat="1">
      <alignment horizontal="right" readingOrder="0"/>
    </xf>
    <xf borderId="0" fillId="0" fontId="26" numFmtId="0" xfId="0" applyAlignment="1" applyFont="1">
      <alignment readingOrder="0"/>
    </xf>
    <xf borderId="0" fillId="0" fontId="26" numFmtId="164" xfId="0" applyAlignment="1" applyFont="1" applyNumberFormat="1">
      <alignment readingOrder="0"/>
    </xf>
    <xf borderId="0" fillId="0" fontId="26" numFmtId="0" xfId="0" applyAlignment="1" applyFont="1">
      <alignment horizontal="right" readingOrder="0"/>
    </xf>
    <xf borderId="0" fillId="0" fontId="26" numFmtId="0" xfId="0" applyAlignment="1" applyFont="1">
      <alignment horizontal="center" readingOrder="0"/>
    </xf>
    <xf borderId="0" fillId="0" fontId="35" numFmtId="0" xfId="0" applyAlignment="1" applyFont="1">
      <alignment horizontal="center"/>
    </xf>
    <xf borderId="0" fillId="0" fontId="35" numFmtId="0" xfId="0" applyFont="1"/>
    <xf borderId="0" fillId="0" fontId="35" numFmtId="0" xfId="0" applyAlignment="1" applyFont="1">
      <alignment readingOrder="0"/>
    </xf>
    <xf borderId="0" fillId="0" fontId="26" numFmtId="164" xfId="0" applyAlignment="1" applyFont="1" applyNumberFormat="1">
      <alignment horizontal="right" readingOrder="0"/>
    </xf>
    <xf borderId="0" fillId="0" fontId="26" numFmtId="0" xfId="0" applyAlignment="1" applyFont="1">
      <alignment horizontal="left" readingOrder="0"/>
    </xf>
    <xf borderId="2" fillId="7" fontId="10" numFmtId="0" xfId="0" applyAlignment="1" applyBorder="1" applyFill="1" applyFont="1">
      <alignment horizontal="center" shrinkToFit="0" wrapText="0"/>
    </xf>
    <xf borderId="0" fillId="7" fontId="20" numFmtId="169" xfId="0" applyAlignment="1" applyFont="1" applyNumberFormat="1">
      <alignment horizontal="right" readingOrder="0" vertical="bottom"/>
    </xf>
    <xf borderId="0" fillId="7" fontId="8" numFmtId="0" xfId="0" applyAlignment="1" applyFont="1">
      <alignment readingOrder="0"/>
    </xf>
    <xf borderId="0" fillId="7" fontId="8" numFmtId="0" xfId="0" applyAlignment="1" applyFont="1">
      <alignment horizontal="right" readingOrder="0"/>
    </xf>
    <xf borderId="0" fillId="7" fontId="8" numFmtId="0" xfId="0" applyAlignment="1" applyFont="1">
      <alignment horizontal="center" readingOrder="0"/>
    </xf>
    <xf borderId="0" fillId="7" fontId="5" numFmtId="0" xfId="0" applyAlignment="1" applyFont="1">
      <alignment horizontal="center"/>
    </xf>
    <xf borderId="0" fillId="7" fontId="5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12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36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Meta Leads-style">
      <tableStyleElement dxfId="1" type="firstRowStripe"/>
      <tableStyleElement dxfId="1" type="secondRowStripe"/>
    </tableStyle>
    <tableStyle count="2" pivot="0" name="Google Registration from Websit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M10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Meta Leads-style" showColumnStripes="0" showFirstColumn="1" showLastColumn="1" showRowStripes="1"/>
</table>
</file>

<file path=xl/tables/table2.xml><?xml version="1.0" encoding="utf-8"?>
<table xmlns="http://schemas.openxmlformats.org/spreadsheetml/2006/main" headerRowCount="0" ref="B3:N430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oogle Registration from Webs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ginahopes@hmail.com" TargetMode="External"/><Relationship Id="rId194" Type="http://schemas.openxmlformats.org/officeDocument/2006/relationships/hyperlink" Target="mailto:malamaforaouf@gmail.com" TargetMode="External"/><Relationship Id="rId193" Type="http://schemas.openxmlformats.org/officeDocument/2006/relationships/hyperlink" Target="mailto:loumbijosias@gmail.com" TargetMode="External"/><Relationship Id="rId192" Type="http://schemas.openxmlformats.org/officeDocument/2006/relationships/hyperlink" Target="mailto:omveerrajput881@gmail.com" TargetMode="External"/><Relationship Id="rId191" Type="http://schemas.openxmlformats.org/officeDocument/2006/relationships/hyperlink" Target="mailto:salimsareh1@gmail.com" TargetMode="External"/><Relationship Id="rId187" Type="http://schemas.openxmlformats.org/officeDocument/2006/relationships/hyperlink" Target="mailto:pauljoshua.tanda2@cibc.com" TargetMode="External"/><Relationship Id="rId186" Type="http://schemas.openxmlformats.org/officeDocument/2006/relationships/hyperlink" Target="mailto:Acsnovaholdings@gmail.com" TargetMode="External"/><Relationship Id="rId185" Type="http://schemas.openxmlformats.org/officeDocument/2006/relationships/hyperlink" Target="mailto:shamsyusufi786@gmail.com" TargetMode="External"/><Relationship Id="rId184" Type="http://schemas.openxmlformats.org/officeDocument/2006/relationships/hyperlink" Target="mailto:kamikotchene72@gmail.com" TargetMode="External"/><Relationship Id="rId189" Type="http://schemas.openxmlformats.org/officeDocument/2006/relationships/hyperlink" Target="mailto:sataoamadou599@gmail.com" TargetMode="External"/><Relationship Id="rId188" Type="http://schemas.openxmlformats.org/officeDocument/2006/relationships/hyperlink" Target="mailto:menjibarsoum@gmail.com" TargetMode="External"/><Relationship Id="rId183" Type="http://schemas.openxmlformats.org/officeDocument/2006/relationships/hyperlink" Target="mailto:ousmaneabdelkerimramadane@gmail.com" TargetMode="External"/><Relationship Id="rId182" Type="http://schemas.openxmlformats.org/officeDocument/2006/relationships/hyperlink" Target="mailto:bienvenusimadjingar@gmail.com" TargetMode="External"/><Relationship Id="rId181" Type="http://schemas.openxmlformats.org/officeDocument/2006/relationships/hyperlink" Target="mailto:dinussa059770364652@gmail.com" TargetMode="External"/><Relationship Id="rId180" Type="http://schemas.openxmlformats.org/officeDocument/2006/relationships/hyperlink" Target="mailto:muvumapapy7@gmail.com" TargetMode="External"/><Relationship Id="rId176" Type="http://schemas.openxmlformats.org/officeDocument/2006/relationships/hyperlink" Target="mailto:yarinkouk@gmail.com" TargetMode="External"/><Relationship Id="rId297" Type="http://schemas.openxmlformats.org/officeDocument/2006/relationships/hyperlink" Target="mailto:sbatra@live.ca" TargetMode="External"/><Relationship Id="rId175" Type="http://schemas.openxmlformats.org/officeDocument/2006/relationships/hyperlink" Target="mailto:Moussavouchristy27@egmail.com" TargetMode="External"/><Relationship Id="rId296" Type="http://schemas.openxmlformats.org/officeDocument/2006/relationships/hyperlink" Target="mailto:makarska1997@gmail.com" TargetMode="External"/><Relationship Id="rId174" Type="http://schemas.openxmlformats.org/officeDocument/2006/relationships/hyperlink" Target="mailto:maimounakienou6@gmail.com" TargetMode="External"/><Relationship Id="rId295" Type="http://schemas.openxmlformats.org/officeDocument/2006/relationships/hyperlink" Target="mailto:myrealtyadda@gmail.com" TargetMode="External"/><Relationship Id="rId173" Type="http://schemas.openxmlformats.org/officeDocument/2006/relationships/hyperlink" Target="mailto:madokotis420@gmail.com" TargetMode="External"/><Relationship Id="rId294" Type="http://schemas.openxmlformats.org/officeDocument/2006/relationships/hyperlink" Target="mailto:elizabeth.h@hotmail.ca" TargetMode="External"/><Relationship Id="rId179" Type="http://schemas.openxmlformats.org/officeDocument/2006/relationships/hyperlink" Target="mailto:aliouatt679@gmail.com" TargetMode="External"/><Relationship Id="rId178" Type="http://schemas.openxmlformats.org/officeDocument/2006/relationships/hyperlink" Target="mailto:Nargueshatami@gmail.com" TargetMode="External"/><Relationship Id="rId299" Type="http://schemas.openxmlformats.org/officeDocument/2006/relationships/hyperlink" Target="mailto:Grace.Chisholm@remax.net" TargetMode="External"/><Relationship Id="rId177" Type="http://schemas.openxmlformats.org/officeDocument/2006/relationships/hyperlink" Target="mailto:Donkeufranclin94@gmail.com" TargetMode="External"/><Relationship Id="rId298" Type="http://schemas.openxmlformats.org/officeDocument/2006/relationships/hyperlink" Target="mailto:realtorjamilqamar@gmail.com" TargetMode="External"/><Relationship Id="rId198" Type="http://schemas.openxmlformats.org/officeDocument/2006/relationships/hyperlink" Target="mailto:Makavelimb@gmail.com" TargetMode="External"/><Relationship Id="rId197" Type="http://schemas.openxmlformats.org/officeDocument/2006/relationships/hyperlink" Target="mailto:sk2811531@gmail.com" TargetMode="External"/><Relationship Id="rId196" Type="http://schemas.openxmlformats.org/officeDocument/2006/relationships/hyperlink" Target="mailto:sambabalde75@hotmail.fr" TargetMode="External"/><Relationship Id="rId195" Type="http://schemas.openxmlformats.org/officeDocument/2006/relationships/hyperlink" Target="mailto:davidiouf1969@gmail.com" TargetMode="External"/><Relationship Id="rId199" Type="http://schemas.openxmlformats.org/officeDocument/2006/relationships/hyperlink" Target="mailto:papaabdoulaye55@gmail.com" TargetMode="External"/><Relationship Id="rId150" Type="http://schemas.openxmlformats.org/officeDocument/2006/relationships/hyperlink" Target="mailto:dieumercindungini243@gmail.com" TargetMode="External"/><Relationship Id="rId271" Type="http://schemas.openxmlformats.org/officeDocument/2006/relationships/hyperlink" Target="mailto:CamaraAdama868@gmail.com" TargetMode="External"/><Relationship Id="rId392" Type="http://schemas.openxmlformats.org/officeDocument/2006/relationships/hyperlink" Target="mailto:roaburke@gmail.com" TargetMode="External"/><Relationship Id="rId270" Type="http://schemas.openxmlformats.org/officeDocument/2006/relationships/hyperlink" Target="mailto:sankfof8@gmail.com" TargetMode="External"/><Relationship Id="rId391" Type="http://schemas.openxmlformats.org/officeDocument/2006/relationships/hyperlink" Target="mailto:Rahulpabbas3@gmail.com" TargetMode="External"/><Relationship Id="rId390" Type="http://schemas.openxmlformats.org/officeDocument/2006/relationships/hyperlink" Target="mailto:salyamovakamola@gmail.com" TargetMode="External"/><Relationship Id="rId1" Type="http://schemas.openxmlformats.org/officeDocument/2006/relationships/hyperlink" Target="mailto:samara.boparai@gmail.com" TargetMode="External"/><Relationship Id="rId2" Type="http://schemas.openxmlformats.org/officeDocument/2006/relationships/hyperlink" Target="mailto:azaanak@gmail.com" TargetMode="External"/><Relationship Id="rId3" Type="http://schemas.openxmlformats.org/officeDocument/2006/relationships/hyperlink" Target="mailto:nisapersaud98@gmail.com" TargetMode="External"/><Relationship Id="rId149" Type="http://schemas.openxmlformats.org/officeDocument/2006/relationships/hyperlink" Target="mailto:Wizbob956@gmail.com" TargetMode="External"/><Relationship Id="rId4" Type="http://schemas.openxmlformats.org/officeDocument/2006/relationships/hyperlink" Target="mailto:abdulhainad@gmail.com" TargetMode="External"/><Relationship Id="rId148" Type="http://schemas.openxmlformats.org/officeDocument/2006/relationships/hyperlink" Target="mailto:bayidikilalaurence4@gmail.com" TargetMode="External"/><Relationship Id="rId269" Type="http://schemas.openxmlformats.org/officeDocument/2006/relationships/hyperlink" Target="mailto:gr1cieux.com@icloud.com" TargetMode="External"/><Relationship Id="rId9" Type="http://schemas.openxmlformats.org/officeDocument/2006/relationships/hyperlink" Target="mailto:Jocelyn_d2003@yahoo.com" TargetMode="External"/><Relationship Id="rId143" Type="http://schemas.openxmlformats.org/officeDocument/2006/relationships/hyperlink" Target="mailto:Sseydina15@gmail.com" TargetMode="External"/><Relationship Id="rId264" Type="http://schemas.openxmlformats.org/officeDocument/2006/relationships/hyperlink" Target="mailto:fallougueye555@gmail.com" TargetMode="External"/><Relationship Id="rId385" Type="http://schemas.openxmlformats.org/officeDocument/2006/relationships/hyperlink" Target="mailto:madlen.mourad@gmail.com" TargetMode="External"/><Relationship Id="rId142" Type="http://schemas.openxmlformats.org/officeDocument/2006/relationships/hyperlink" Target="mailto:Fullpower47@danali.com" TargetMode="External"/><Relationship Id="rId263" Type="http://schemas.openxmlformats.org/officeDocument/2006/relationships/hyperlink" Target="mailto:djalohabib527@gmail.com" TargetMode="External"/><Relationship Id="rId384" Type="http://schemas.openxmlformats.org/officeDocument/2006/relationships/hyperlink" Target="mailto:Jesumaryamalathas24@gmail.com" TargetMode="External"/><Relationship Id="rId141" Type="http://schemas.openxmlformats.org/officeDocument/2006/relationships/hyperlink" Target="mailto:Suja.vja@gmail.com" TargetMode="External"/><Relationship Id="rId262" Type="http://schemas.openxmlformats.org/officeDocument/2006/relationships/hyperlink" Target="mailto:younoussa693@gmail.com" TargetMode="External"/><Relationship Id="rId383" Type="http://schemas.openxmlformats.org/officeDocument/2006/relationships/hyperlink" Target="mailto:praba161988@gmail.com" TargetMode="External"/><Relationship Id="rId140" Type="http://schemas.openxmlformats.org/officeDocument/2006/relationships/hyperlink" Target="mailto:realtor.pankajpatel@gmail.com" TargetMode="External"/><Relationship Id="rId261" Type="http://schemas.openxmlformats.org/officeDocument/2006/relationships/hyperlink" Target="mailto:moussaramadanemayo@gmail.com" TargetMode="External"/><Relationship Id="rId382" Type="http://schemas.openxmlformats.org/officeDocument/2006/relationships/hyperlink" Target="mailto:fishshrimp@hotmail.com" TargetMode="External"/><Relationship Id="rId5" Type="http://schemas.openxmlformats.org/officeDocument/2006/relationships/hyperlink" Target="mailto:stevehennessey1973@gmail.com" TargetMode="External"/><Relationship Id="rId147" Type="http://schemas.openxmlformats.org/officeDocument/2006/relationships/hyperlink" Target="mailto:bakombapamelo@gmail.com" TargetMode="External"/><Relationship Id="rId268" Type="http://schemas.openxmlformats.org/officeDocument/2006/relationships/hyperlink" Target="mailto:micheallamah67@gmail.com" TargetMode="External"/><Relationship Id="rId389" Type="http://schemas.openxmlformats.org/officeDocument/2006/relationships/hyperlink" Target="mailto:Petrini08@live.ca" TargetMode="External"/><Relationship Id="rId6" Type="http://schemas.openxmlformats.org/officeDocument/2006/relationships/hyperlink" Target="mailto:bdhungana@ryan-design.com" TargetMode="External"/><Relationship Id="rId146" Type="http://schemas.openxmlformats.org/officeDocument/2006/relationships/hyperlink" Target="mailto:Adamagnalennbah@gmail.com" TargetMode="External"/><Relationship Id="rId267" Type="http://schemas.openxmlformats.org/officeDocument/2006/relationships/hyperlink" Target="mailto:benikisambae@gmail.com" TargetMode="External"/><Relationship Id="rId388" Type="http://schemas.openxmlformats.org/officeDocument/2006/relationships/hyperlink" Target="mailto:kmishaha@gmail.com" TargetMode="External"/><Relationship Id="rId7" Type="http://schemas.openxmlformats.org/officeDocument/2006/relationships/hyperlink" Target="mailto:ojasthakur@gmail.com" TargetMode="External"/><Relationship Id="rId145" Type="http://schemas.openxmlformats.org/officeDocument/2006/relationships/hyperlink" Target="mailto:garciamadzeya@gmail.com" TargetMode="External"/><Relationship Id="rId266" Type="http://schemas.openxmlformats.org/officeDocument/2006/relationships/hyperlink" Target="mailto:nourllaassa01@ocloud.com" TargetMode="External"/><Relationship Id="rId387" Type="http://schemas.openxmlformats.org/officeDocument/2006/relationships/hyperlink" Target="mailto:tyawilliams0@gmail.com" TargetMode="External"/><Relationship Id="rId8" Type="http://schemas.openxmlformats.org/officeDocument/2006/relationships/hyperlink" Target="mailto:tiffalexa@hotmail.com" TargetMode="External"/><Relationship Id="rId144" Type="http://schemas.openxmlformats.org/officeDocument/2006/relationships/hyperlink" Target="mailto:madolikays@gmail.com" TargetMode="External"/><Relationship Id="rId265" Type="http://schemas.openxmlformats.org/officeDocument/2006/relationships/hyperlink" Target="mailto:alphooumardiallo14@gmail.com" TargetMode="External"/><Relationship Id="rId386" Type="http://schemas.openxmlformats.org/officeDocument/2006/relationships/hyperlink" Target="mailto:Jessysullivan45@gmail.com" TargetMode="External"/><Relationship Id="rId260" Type="http://schemas.openxmlformats.org/officeDocument/2006/relationships/hyperlink" Target="mailto:mohamedbarrymohamed888@gmail.com" TargetMode="External"/><Relationship Id="rId381" Type="http://schemas.openxmlformats.org/officeDocument/2006/relationships/hyperlink" Target="mailto:graham.jessica338@gmail.com" TargetMode="External"/><Relationship Id="rId380" Type="http://schemas.openxmlformats.org/officeDocument/2006/relationships/hyperlink" Target="mailto:kajenpillai@gmail.com" TargetMode="External"/><Relationship Id="rId139" Type="http://schemas.openxmlformats.org/officeDocument/2006/relationships/hyperlink" Target="mailto:gildammjack@hotmail.com" TargetMode="External"/><Relationship Id="rId138" Type="http://schemas.openxmlformats.org/officeDocument/2006/relationships/hyperlink" Target="mailto:agbozonoelie@gmail.com" TargetMode="External"/><Relationship Id="rId259" Type="http://schemas.openxmlformats.org/officeDocument/2006/relationships/hyperlink" Target="mailto:isiakasangare@gmail.com" TargetMode="External"/><Relationship Id="rId137" Type="http://schemas.openxmlformats.org/officeDocument/2006/relationships/hyperlink" Target="mailto:Rachidabrahimbah@gmail.com" TargetMode="External"/><Relationship Id="rId258" Type="http://schemas.openxmlformats.org/officeDocument/2006/relationships/hyperlink" Target="mailto:abbazaraasto@gmail.com" TargetMode="External"/><Relationship Id="rId379" Type="http://schemas.openxmlformats.org/officeDocument/2006/relationships/hyperlink" Target="mailto:santhiyaaj@hotmail.com" TargetMode="External"/><Relationship Id="rId132" Type="http://schemas.openxmlformats.org/officeDocument/2006/relationships/hyperlink" Target="mailto:wensbivulawata@gmail.com" TargetMode="External"/><Relationship Id="rId253" Type="http://schemas.openxmlformats.org/officeDocument/2006/relationships/hyperlink" Target="mailto:themarticorenagroup@gmail.com" TargetMode="External"/><Relationship Id="rId374" Type="http://schemas.openxmlformats.org/officeDocument/2006/relationships/hyperlink" Target="mailto:vbpatel1997@gmail.com" TargetMode="External"/><Relationship Id="rId495" Type="http://schemas.openxmlformats.org/officeDocument/2006/relationships/hyperlink" Target="mailto:chris@thesalesteam.ca" TargetMode="External"/><Relationship Id="rId131" Type="http://schemas.openxmlformats.org/officeDocument/2006/relationships/hyperlink" Target="mailto:chambrelofficiel@gmail.com" TargetMode="External"/><Relationship Id="rId252" Type="http://schemas.openxmlformats.org/officeDocument/2006/relationships/hyperlink" Target="mailto:semdoussdiallo@gmail.com" TargetMode="External"/><Relationship Id="rId373" Type="http://schemas.openxmlformats.org/officeDocument/2006/relationships/hyperlink" Target="mailto:yahya.beg@gmail.com" TargetMode="External"/><Relationship Id="rId494" Type="http://schemas.openxmlformats.org/officeDocument/2006/relationships/hyperlink" Target="mailto:ymekdes4@gmail.com" TargetMode="External"/><Relationship Id="rId130" Type="http://schemas.openxmlformats.org/officeDocument/2006/relationships/hyperlink" Target="mailto:Moussaksikks@gmail.com" TargetMode="External"/><Relationship Id="rId251" Type="http://schemas.openxmlformats.org/officeDocument/2006/relationships/hyperlink" Target="mailto:Absatoure8mars@gmail.com" TargetMode="External"/><Relationship Id="rId372" Type="http://schemas.openxmlformats.org/officeDocument/2006/relationships/hyperlink" Target="mailto:Mohdibrahim.imran@yahoo.com" TargetMode="External"/><Relationship Id="rId493" Type="http://schemas.openxmlformats.org/officeDocument/2006/relationships/hyperlink" Target="mailto:Extremecleanprofservices@gmail.com" TargetMode="External"/><Relationship Id="rId250" Type="http://schemas.openxmlformats.org/officeDocument/2006/relationships/hyperlink" Target="mailto:yacebadara123@gmail.com" TargetMode="External"/><Relationship Id="rId371" Type="http://schemas.openxmlformats.org/officeDocument/2006/relationships/hyperlink" Target="mailto:Shinyb999@gmail.com" TargetMode="External"/><Relationship Id="rId492" Type="http://schemas.openxmlformats.org/officeDocument/2006/relationships/hyperlink" Target="mailto:llaffer91@gmail.com" TargetMode="External"/><Relationship Id="rId136" Type="http://schemas.openxmlformats.org/officeDocument/2006/relationships/hyperlink" Target="mailto:Shongojonathan@icloud.com" TargetMode="External"/><Relationship Id="rId257" Type="http://schemas.openxmlformats.org/officeDocument/2006/relationships/hyperlink" Target="mailto:polycarpenimubona@gmail.com" TargetMode="External"/><Relationship Id="rId378" Type="http://schemas.openxmlformats.org/officeDocument/2006/relationships/hyperlink" Target="mailto:hoda@condosdeal.com" TargetMode="External"/><Relationship Id="rId499" Type="http://schemas.openxmlformats.org/officeDocument/2006/relationships/hyperlink" Target="mailto:ayeshaakhan97@gmail.com" TargetMode="External"/><Relationship Id="rId135" Type="http://schemas.openxmlformats.org/officeDocument/2006/relationships/hyperlink" Target="mailto:43@gmail.com" TargetMode="External"/><Relationship Id="rId256" Type="http://schemas.openxmlformats.org/officeDocument/2006/relationships/hyperlink" Target="mailto:johnatokofi2017@gmail.com" TargetMode="External"/><Relationship Id="rId377" Type="http://schemas.openxmlformats.org/officeDocument/2006/relationships/hyperlink" Target="mailto:Kaddydarry@gailm.com" TargetMode="External"/><Relationship Id="rId498" Type="http://schemas.openxmlformats.org/officeDocument/2006/relationships/hyperlink" Target="mailto:h_masood86@hotmail.com" TargetMode="External"/><Relationship Id="rId134" Type="http://schemas.openxmlformats.org/officeDocument/2006/relationships/hyperlink" Target="mailto:santosh.reality@gmail.com" TargetMode="External"/><Relationship Id="rId255" Type="http://schemas.openxmlformats.org/officeDocument/2006/relationships/hyperlink" Target="mailto:Oktayabri2017@gmail.com" TargetMode="External"/><Relationship Id="rId376" Type="http://schemas.openxmlformats.org/officeDocument/2006/relationships/hyperlink" Target="http://gmail.com/" TargetMode="External"/><Relationship Id="rId497" Type="http://schemas.openxmlformats.org/officeDocument/2006/relationships/hyperlink" Target="mailto:Gsiyam@gmail.com" TargetMode="External"/><Relationship Id="rId133" Type="http://schemas.openxmlformats.org/officeDocument/2006/relationships/hyperlink" Target="mailto:cherif41186@gmail.com" TargetMode="External"/><Relationship Id="rId254" Type="http://schemas.openxmlformats.org/officeDocument/2006/relationships/hyperlink" Target="mailto:toniskeja577@mail.com" TargetMode="External"/><Relationship Id="rId375" Type="http://schemas.openxmlformats.org/officeDocument/2006/relationships/hyperlink" Target="mailto:brandon.adam.dasilva@gmail.com" TargetMode="External"/><Relationship Id="rId496" Type="http://schemas.openxmlformats.org/officeDocument/2006/relationships/hyperlink" Target="mailto:Samsonandrade0@gmail.com" TargetMode="External"/><Relationship Id="rId172" Type="http://schemas.openxmlformats.org/officeDocument/2006/relationships/hyperlink" Target="mailto:emmanuelnganawei@gmail.com" TargetMode="External"/><Relationship Id="rId293" Type="http://schemas.openxmlformats.org/officeDocument/2006/relationships/hyperlink" Target="mailto:shashi.krishan@gmail.com" TargetMode="External"/><Relationship Id="rId171" Type="http://schemas.openxmlformats.org/officeDocument/2006/relationships/hyperlink" Target="mailto:cecilegomis2000@gmail.com" TargetMode="External"/><Relationship Id="rId292" Type="http://schemas.openxmlformats.org/officeDocument/2006/relationships/hyperlink" Target="mailto:andrea.clc.dixon@gmail.com" TargetMode="External"/><Relationship Id="rId170" Type="http://schemas.openxmlformats.org/officeDocument/2006/relationships/hyperlink" Target="mailto:djakimoisse4@gmail.com" TargetMode="External"/><Relationship Id="rId291" Type="http://schemas.openxmlformats.org/officeDocument/2006/relationships/hyperlink" Target="mailto:Nat.narbut@gmail.com" TargetMode="External"/><Relationship Id="rId290" Type="http://schemas.openxmlformats.org/officeDocument/2006/relationships/hyperlink" Target="mailto:tikiburey@gmail.com" TargetMode="External"/><Relationship Id="rId165" Type="http://schemas.openxmlformats.org/officeDocument/2006/relationships/hyperlink" Target="mailto:duckouzolassana@gmail.com" TargetMode="External"/><Relationship Id="rId286" Type="http://schemas.openxmlformats.org/officeDocument/2006/relationships/hyperlink" Target="mailto:Jiya.gupta@rbc.com" TargetMode="External"/><Relationship Id="rId164" Type="http://schemas.openxmlformats.org/officeDocument/2006/relationships/hyperlink" Target="mailto:ksureinthira@hotmail.com" TargetMode="External"/><Relationship Id="rId285" Type="http://schemas.openxmlformats.org/officeDocument/2006/relationships/hyperlink" Target="mailto:Manirul9@yahoo.ca" TargetMode="External"/><Relationship Id="rId163" Type="http://schemas.openxmlformats.org/officeDocument/2006/relationships/hyperlink" Target="mailto:Abbasterapyoussouf@gmail.com" TargetMode="External"/><Relationship Id="rId284" Type="http://schemas.openxmlformats.org/officeDocument/2006/relationships/hyperlink" Target="mailto:guneetrealtor@gmail.com" TargetMode="External"/><Relationship Id="rId162" Type="http://schemas.openxmlformats.org/officeDocument/2006/relationships/hyperlink" Target="mailto:rondoubagedeon51@gmail.com" TargetMode="External"/><Relationship Id="rId283" Type="http://schemas.openxmlformats.org/officeDocument/2006/relationships/hyperlink" Target="mailto:Ebadjav@gmail.com" TargetMode="External"/><Relationship Id="rId169" Type="http://schemas.openxmlformats.org/officeDocument/2006/relationships/hyperlink" Target="mailto:Ameera.alhiraki1@gmail.com" TargetMode="External"/><Relationship Id="rId168" Type="http://schemas.openxmlformats.org/officeDocument/2006/relationships/hyperlink" Target="mailto:adabaye.773904776@gmail.com" TargetMode="External"/><Relationship Id="rId289" Type="http://schemas.openxmlformats.org/officeDocument/2006/relationships/hyperlink" Target="mailto:aboggus45@gmail.com" TargetMode="External"/><Relationship Id="rId167" Type="http://schemas.openxmlformats.org/officeDocument/2006/relationships/hyperlink" Target="mailto:emmanuellalemou@gmail.com" TargetMode="External"/><Relationship Id="rId288" Type="http://schemas.openxmlformats.org/officeDocument/2006/relationships/hyperlink" Target="mailto:meri_444353@yahoo.com" TargetMode="External"/><Relationship Id="rId166" Type="http://schemas.openxmlformats.org/officeDocument/2006/relationships/hyperlink" Target="mailto:nkodiadelphin@gmel.com" TargetMode="External"/><Relationship Id="rId287" Type="http://schemas.openxmlformats.org/officeDocument/2006/relationships/hyperlink" Target="mailto:karm.realtor@gmail.com" TargetMode="External"/><Relationship Id="rId161" Type="http://schemas.openxmlformats.org/officeDocument/2006/relationships/hyperlink" Target="mailto:fayegana50@gmail.com" TargetMode="External"/><Relationship Id="rId282" Type="http://schemas.openxmlformats.org/officeDocument/2006/relationships/hyperlink" Target="mailto:mitziehyre@gmail.com" TargetMode="External"/><Relationship Id="rId160" Type="http://schemas.openxmlformats.org/officeDocument/2006/relationships/hyperlink" Target="mailto:liliosakimia59@gmail.com" TargetMode="External"/><Relationship Id="rId281" Type="http://schemas.openxmlformats.org/officeDocument/2006/relationships/hyperlink" Target="mailto:Hashestates@gmail.com" TargetMode="External"/><Relationship Id="rId280" Type="http://schemas.openxmlformats.org/officeDocument/2006/relationships/hyperlink" Target="mailto:kspatelrealtor1@gmail.com" TargetMode="External"/><Relationship Id="rId159" Type="http://schemas.openxmlformats.org/officeDocument/2006/relationships/hyperlink" Target="mailto:syhadji498@gmail.com" TargetMode="External"/><Relationship Id="rId154" Type="http://schemas.openxmlformats.org/officeDocument/2006/relationships/hyperlink" Target="mailto:mukendifabrice81@gmail.com" TargetMode="External"/><Relationship Id="rId275" Type="http://schemas.openxmlformats.org/officeDocument/2006/relationships/hyperlink" Target="mailto:faliciaseepersaud@gmail.com" TargetMode="External"/><Relationship Id="rId396" Type="http://schemas.openxmlformats.org/officeDocument/2006/relationships/hyperlink" Target="mailto:88@gmail.com" TargetMode="External"/><Relationship Id="rId153" Type="http://schemas.openxmlformats.org/officeDocument/2006/relationships/hyperlink" Target="mailto:depaullikombo@gmail.com" TargetMode="External"/><Relationship Id="rId274" Type="http://schemas.openxmlformats.org/officeDocument/2006/relationships/hyperlink" Target="mailto:rana@condoroyalty.com" TargetMode="External"/><Relationship Id="rId395" Type="http://schemas.openxmlformats.org/officeDocument/2006/relationships/hyperlink" Target="mailto:minada077@gmail.com" TargetMode="External"/><Relationship Id="rId152" Type="http://schemas.openxmlformats.org/officeDocument/2006/relationships/hyperlink" Target="mailto:ibediallo314@gmail.com" TargetMode="External"/><Relationship Id="rId273" Type="http://schemas.openxmlformats.org/officeDocument/2006/relationships/hyperlink" Target="mailto:cnoronha+1@ryan-design.com" TargetMode="External"/><Relationship Id="rId394" Type="http://schemas.openxmlformats.org/officeDocument/2006/relationships/hyperlink" Target="mailto:anil.nagpal61@yahoo.ca" TargetMode="External"/><Relationship Id="rId151" Type="http://schemas.openxmlformats.org/officeDocument/2006/relationships/hyperlink" Target="mailto:mhtmahadi998@gmail.com" TargetMode="External"/><Relationship Id="rId272" Type="http://schemas.openxmlformats.org/officeDocument/2006/relationships/hyperlink" Target="mailto:diedhousafietou@gmail.com" TargetMode="External"/><Relationship Id="rId393" Type="http://schemas.openxmlformats.org/officeDocument/2006/relationships/hyperlink" Target="mailto:sameeahmed01@gmail.com" TargetMode="External"/><Relationship Id="rId158" Type="http://schemas.openxmlformats.org/officeDocument/2006/relationships/hyperlink" Target="mailto:totoronislas@gmail.com" TargetMode="External"/><Relationship Id="rId279" Type="http://schemas.openxmlformats.org/officeDocument/2006/relationships/hyperlink" Target="mailto:nila.rajendram@gmail.com" TargetMode="External"/><Relationship Id="rId157" Type="http://schemas.openxmlformats.org/officeDocument/2006/relationships/hyperlink" Target="mailto:Myacoub550@gmail.com" TargetMode="External"/><Relationship Id="rId278" Type="http://schemas.openxmlformats.org/officeDocument/2006/relationships/hyperlink" Target="mailto:brandonmcarthur@royallepage.ca" TargetMode="External"/><Relationship Id="rId399" Type="http://schemas.openxmlformats.org/officeDocument/2006/relationships/hyperlink" Target="mailto:Kirandembla14@gmail.com" TargetMode="External"/><Relationship Id="rId156" Type="http://schemas.openxmlformats.org/officeDocument/2006/relationships/hyperlink" Target="mailto:mjfemmecapabledorcas@gmail.com" TargetMode="External"/><Relationship Id="rId277" Type="http://schemas.openxmlformats.org/officeDocument/2006/relationships/hyperlink" Target="mailto:dkhomes70@gmail.com" TargetMode="External"/><Relationship Id="rId398" Type="http://schemas.openxmlformats.org/officeDocument/2006/relationships/hyperlink" Target="mailto:sanjithaku@icloud.com" TargetMode="External"/><Relationship Id="rId155" Type="http://schemas.openxmlformats.org/officeDocument/2006/relationships/hyperlink" Target="mailto:malickndick@gmail.com" TargetMode="External"/><Relationship Id="rId276" Type="http://schemas.openxmlformats.org/officeDocument/2006/relationships/hyperlink" Target="mailto:nickw@royallepage.ca" TargetMode="External"/><Relationship Id="rId397" Type="http://schemas.openxmlformats.org/officeDocument/2006/relationships/hyperlink" Target="mailto:Mohvawda@gmail.com" TargetMode="External"/><Relationship Id="rId40" Type="http://schemas.openxmlformats.org/officeDocument/2006/relationships/hyperlink" Target="mailto:jordank@pmabrethour.com" TargetMode="External"/><Relationship Id="rId42" Type="http://schemas.openxmlformats.org/officeDocument/2006/relationships/hyperlink" Target="mailto:dmuhajer@hotmail.com" TargetMode="External"/><Relationship Id="rId41" Type="http://schemas.openxmlformats.org/officeDocument/2006/relationships/hyperlink" Target="mailto:massedione127@gmail.com" TargetMode="External"/><Relationship Id="rId44" Type="http://schemas.openxmlformats.org/officeDocument/2006/relationships/hyperlink" Target="mailto:Sesayman365@gamile.com" TargetMode="External"/><Relationship Id="rId43" Type="http://schemas.openxmlformats.org/officeDocument/2006/relationships/hyperlink" Target="mailto:elhadjialiounegueye112@gmail.com" TargetMode="External"/><Relationship Id="rId46" Type="http://schemas.openxmlformats.org/officeDocument/2006/relationships/hyperlink" Target="mailto:gloria_kanhai@hotmail.com" TargetMode="External"/><Relationship Id="rId45" Type="http://schemas.openxmlformats.org/officeDocument/2006/relationships/hyperlink" Target="mailto:tjrandhawa.ca@gmail.com" TargetMode="External"/><Relationship Id="rId509" Type="http://schemas.openxmlformats.org/officeDocument/2006/relationships/hyperlink" Target="mailto:Juliyanieh@yahoo.com" TargetMode="External"/><Relationship Id="rId508" Type="http://schemas.openxmlformats.org/officeDocument/2006/relationships/hyperlink" Target="mailto:Tiannafredenburg201@gmail.com" TargetMode="External"/><Relationship Id="rId503" Type="http://schemas.openxmlformats.org/officeDocument/2006/relationships/hyperlink" Target="mailto:farhang1x1@yahoo.ca" TargetMode="External"/><Relationship Id="rId502" Type="http://schemas.openxmlformats.org/officeDocument/2006/relationships/hyperlink" Target="mailto:abkid003@gmail.com" TargetMode="External"/><Relationship Id="rId501" Type="http://schemas.openxmlformats.org/officeDocument/2006/relationships/hyperlink" Target="mailto:rfaseal1@gmail.com" TargetMode="External"/><Relationship Id="rId500" Type="http://schemas.openxmlformats.org/officeDocument/2006/relationships/hyperlink" Target="mailto:CHRISTINEWRIGHT@BELLNET.CA" TargetMode="External"/><Relationship Id="rId507" Type="http://schemas.openxmlformats.org/officeDocument/2006/relationships/hyperlink" Target="mailto:ghousia09@gmail.com" TargetMode="External"/><Relationship Id="rId506" Type="http://schemas.openxmlformats.org/officeDocument/2006/relationships/hyperlink" Target="mailto:merlenedelpesche55555@gmail.com" TargetMode="External"/><Relationship Id="rId505" Type="http://schemas.openxmlformats.org/officeDocument/2006/relationships/hyperlink" Target="mailto:setathinks@gmail.com" TargetMode="External"/><Relationship Id="rId504" Type="http://schemas.openxmlformats.org/officeDocument/2006/relationships/hyperlink" Target="mailto:carlingsahinovic@hotmail.com" TargetMode="External"/><Relationship Id="rId48" Type="http://schemas.openxmlformats.org/officeDocument/2006/relationships/hyperlink" Target="mailto:sowndiaye35@gmail.com" TargetMode="External"/><Relationship Id="rId47" Type="http://schemas.openxmlformats.org/officeDocument/2006/relationships/hyperlink" Target="mailto:dienatij@gmail.com" TargetMode="External"/><Relationship Id="rId49" Type="http://schemas.openxmlformats.org/officeDocument/2006/relationships/hyperlink" Target="mailto:Williamjanetos7@gmail.com" TargetMode="External"/><Relationship Id="rId31" Type="http://schemas.openxmlformats.org/officeDocument/2006/relationships/hyperlink" Target="mailto:bukakatv0@gmail.com" TargetMode="External"/><Relationship Id="rId30" Type="http://schemas.openxmlformats.org/officeDocument/2006/relationships/hyperlink" Target="mailto:kingbaticom2012@gmail.com" TargetMode="External"/><Relationship Id="rId33" Type="http://schemas.openxmlformats.org/officeDocument/2006/relationships/hyperlink" Target="mailto:hazielmawete@gmail.com" TargetMode="External"/><Relationship Id="rId32" Type="http://schemas.openxmlformats.org/officeDocument/2006/relationships/hyperlink" Target="mailto:camaraseni26@gmail.com" TargetMode="External"/><Relationship Id="rId35" Type="http://schemas.openxmlformats.org/officeDocument/2006/relationships/hyperlink" Target="mailto:kosetanushree81@gmail.com" TargetMode="External"/><Relationship Id="rId34" Type="http://schemas.openxmlformats.org/officeDocument/2006/relationships/hyperlink" Target="mailto:rajem74@gmail.com" TargetMode="External"/><Relationship Id="rId37" Type="http://schemas.openxmlformats.org/officeDocument/2006/relationships/hyperlink" Target="mailto:wizgorawiz@gmail.com" TargetMode="External"/><Relationship Id="rId36" Type="http://schemas.openxmlformats.org/officeDocument/2006/relationships/hyperlink" Target="mailto:patrickbabale71@gmail.com" TargetMode="External"/><Relationship Id="rId39" Type="http://schemas.openxmlformats.org/officeDocument/2006/relationships/hyperlink" Target="mailto:zebazakaria1985@gmail.com" TargetMode="External"/><Relationship Id="rId38" Type="http://schemas.openxmlformats.org/officeDocument/2006/relationships/hyperlink" Target="mailto:chrisdavid07@gmail.com" TargetMode="External"/><Relationship Id="rId20" Type="http://schemas.openxmlformats.org/officeDocument/2006/relationships/hyperlink" Target="mailto:arianawireless@gmail.com" TargetMode="External"/><Relationship Id="rId22" Type="http://schemas.openxmlformats.org/officeDocument/2006/relationships/hyperlink" Target="mailto:Kimberlybosse@hotmail.com" TargetMode="External"/><Relationship Id="rId21" Type="http://schemas.openxmlformats.org/officeDocument/2006/relationships/hyperlink" Target="mailto:ekramulkarim.anm@gmail.com" TargetMode="External"/><Relationship Id="rId24" Type="http://schemas.openxmlformats.org/officeDocument/2006/relationships/hyperlink" Target="mailto:test23@gmail.com" TargetMode="External"/><Relationship Id="rId23" Type="http://schemas.openxmlformats.org/officeDocument/2006/relationships/hyperlink" Target="mailto:admin@dreamhouserealestate.ca" TargetMode="External"/><Relationship Id="rId409" Type="http://schemas.openxmlformats.org/officeDocument/2006/relationships/hyperlink" Target="mailto:lizagrace777@gmail.com" TargetMode="External"/><Relationship Id="rId404" Type="http://schemas.openxmlformats.org/officeDocument/2006/relationships/hyperlink" Target="mailto:qadirnoor87@gmail.com" TargetMode="External"/><Relationship Id="rId403" Type="http://schemas.openxmlformats.org/officeDocument/2006/relationships/hyperlink" Target="mailto:mohita.aroraa@gmail.com" TargetMode="External"/><Relationship Id="rId524" Type="http://schemas.openxmlformats.org/officeDocument/2006/relationships/drawing" Target="../drawings/drawing1.xml"/><Relationship Id="rId402" Type="http://schemas.openxmlformats.org/officeDocument/2006/relationships/hyperlink" Target="mailto:alex.pirabakaran@ontariotechu.net" TargetMode="External"/><Relationship Id="rId523" Type="http://schemas.openxmlformats.org/officeDocument/2006/relationships/hyperlink" Target="mailto:info@proassist.ca" TargetMode="External"/><Relationship Id="rId401" Type="http://schemas.openxmlformats.org/officeDocument/2006/relationships/hyperlink" Target="mailto:melissa.macaluso@outlook.com" TargetMode="External"/><Relationship Id="rId522" Type="http://schemas.openxmlformats.org/officeDocument/2006/relationships/hyperlink" Target="mailto:surajshah2215@gmail.com" TargetMode="External"/><Relationship Id="rId408" Type="http://schemas.openxmlformats.org/officeDocument/2006/relationships/hyperlink" Target="mailto:Kumarpa987@gmail.com" TargetMode="External"/><Relationship Id="rId407" Type="http://schemas.openxmlformats.org/officeDocument/2006/relationships/hyperlink" Target="mailto:mushyorts@yahoo.com" TargetMode="External"/><Relationship Id="rId406" Type="http://schemas.openxmlformats.org/officeDocument/2006/relationships/hyperlink" Target="mailto:kesh576@gmail.com" TargetMode="External"/><Relationship Id="rId405" Type="http://schemas.openxmlformats.org/officeDocument/2006/relationships/hyperlink" Target="mailto:Malikaghous2001@gmail.com" TargetMode="External"/><Relationship Id="rId26" Type="http://schemas.openxmlformats.org/officeDocument/2006/relationships/hyperlink" Target="mailto:test@gmail.com" TargetMode="External"/><Relationship Id="rId25" Type="http://schemas.openxmlformats.org/officeDocument/2006/relationships/hyperlink" Target="mailto:pauljeremy32@gmail.com" TargetMode="External"/><Relationship Id="rId28" Type="http://schemas.openxmlformats.org/officeDocument/2006/relationships/hyperlink" Target="mailto:voldymudiadambu@gmail.com" TargetMode="External"/><Relationship Id="rId27" Type="http://schemas.openxmlformats.org/officeDocument/2006/relationships/hyperlink" Target="mailto:Johnlenon34@gmail.com" TargetMode="External"/><Relationship Id="rId400" Type="http://schemas.openxmlformats.org/officeDocument/2006/relationships/hyperlink" Target="mailto:malnaboot@yahoo.com" TargetMode="External"/><Relationship Id="rId521" Type="http://schemas.openxmlformats.org/officeDocument/2006/relationships/hyperlink" Target="mailto:jpreetkaur98@gmail.com" TargetMode="External"/><Relationship Id="rId29" Type="http://schemas.openxmlformats.org/officeDocument/2006/relationships/hyperlink" Target="mailto:otiti@destygmai.com" TargetMode="External"/><Relationship Id="rId520" Type="http://schemas.openxmlformats.org/officeDocument/2006/relationships/hyperlink" Target="mailto:ramisa.c@hotmail.ca" TargetMode="External"/><Relationship Id="rId11" Type="http://schemas.openxmlformats.org/officeDocument/2006/relationships/hyperlink" Target="mailto:brigbri09@gmail.com" TargetMode="External"/><Relationship Id="rId10" Type="http://schemas.openxmlformats.org/officeDocument/2006/relationships/hyperlink" Target="mailto:apatel@ryan-design.com" TargetMode="External"/><Relationship Id="rId13" Type="http://schemas.openxmlformats.org/officeDocument/2006/relationships/hyperlink" Target="mailto:Ulyhpiga1971@gmail.com" TargetMode="External"/><Relationship Id="rId12" Type="http://schemas.openxmlformats.org/officeDocument/2006/relationships/hyperlink" Target="mailto:construction@styluxhomes.com" TargetMode="External"/><Relationship Id="rId519" Type="http://schemas.openxmlformats.org/officeDocument/2006/relationships/hyperlink" Target="mailto:Nagesan.d.92@gmail.com" TargetMode="External"/><Relationship Id="rId514" Type="http://schemas.openxmlformats.org/officeDocument/2006/relationships/hyperlink" Target="mailto:Jacquelinewongrealtor@gmai.com" TargetMode="External"/><Relationship Id="rId513" Type="http://schemas.openxmlformats.org/officeDocument/2006/relationships/hyperlink" Target="mailto:desaijignesh49@gmail.com" TargetMode="External"/><Relationship Id="rId512" Type="http://schemas.openxmlformats.org/officeDocument/2006/relationships/hyperlink" Target="mailto:tkgamboa1993@gmail.com" TargetMode="External"/><Relationship Id="rId511" Type="http://schemas.openxmlformats.org/officeDocument/2006/relationships/hyperlink" Target="mailto:ekhosousi@gmail.com" TargetMode="External"/><Relationship Id="rId518" Type="http://schemas.openxmlformats.org/officeDocument/2006/relationships/hyperlink" Target="mailto:yakitnahs@gmail.com" TargetMode="External"/><Relationship Id="rId517" Type="http://schemas.openxmlformats.org/officeDocument/2006/relationships/hyperlink" Target="mailto:marcpeloso5@gmail.com" TargetMode="External"/><Relationship Id="rId516" Type="http://schemas.openxmlformats.org/officeDocument/2006/relationships/hyperlink" Target="mailto:shidispiff@gmail.com" TargetMode="External"/><Relationship Id="rId515" Type="http://schemas.openxmlformats.org/officeDocument/2006/relationships/hyperlink" Target="mailto:kumarramanathy@yahoo.ca" TargetMode="External"/><Relationship Id="rId15" Type="http://schemas.openxmlformats.org/officeDocument/2006/relationships/hyperlink" Target="mailto:mitchmackichan@gmail.com" TargetMode="External"/><Relationship Id="rId14" Type="http://schemas.openxmlformats.org/officeDocument/2006/relationships/hyperlink" Target="mailto:Haidz78@yahoo.com" TargetMode="External"/><Relationship Id="rId17" Type="http://schemas.openxmlformats.org/officeDocument/2006/relationships/hyperlink" Target="mailto:shazia_jz@yahoo.com" TargetMode="External"/><Relationship Id="rId16" Type="http://schemas.openxmlformats.org/officeDocument/2006/relationships/hyperlink" Target="mailto:singh3namita@gmail.com" TargetMode="External"/><Relationship Id="rId19" Type="http://schemas.openxmlformats.org/officeDocument/2006/relationships/hyperlink" Target="mailto:bedwardlatanya@gmail.com" TargetMode="External"/><Relationship Id="rId510" Type="http://schemas.openxmlformats.org/officeDocument/2006/relationships/hyperlink" Target="mailto:nagitabashizade@gmail.com" TargetMode="External"/><Relationship Id="rId18" Type="http://schemas.openxmlformats.org/officeDocument/2006/relationships/hyperlink" Target="mailto:a-owusu@hotmail.ca" TargetMode="External"/><Relationship Id="rId84" Type="http://schemas.openxmlformats.org/officeDocument/2006/relationships/hyperlink" Target="mailto:julesjeannot@outlook.com" TargetMode="External"/><Relationship Id="rId83" Type="http://schemas.openxmlformats.org/officeDocument/2006/relationships/hyperlink" Target="mailto:info@edmondishag.com" TargetMode="External"/><Relationship Id="rId86" Type="http://schemas.openxmlformats.org/officeDocument/2006/relationships/hyperlink" Target="mailto:Idrissacheuchabadji@gmail.com" TargetMode="External"/><Relationship Id="rId85" Type="http://schemas.openxmlformats.org/officeDocument/2006/relationships/hyperlink" Target="mailto:grace.lifoli@icloud.com" TargetMode="External"/><Relationship Id="rId88" Type="http://schemas.openxmlformats.org/officeDocument/2006/relationships/hyperlink" Target="mailto:azariahnawej06@gmail.com" TargetMode="External"/><Relationship Id="rId87" Type="http://schemas.openxmlformats.org/officeDocument/2006/relationships/hyperlink" Target="mailto:e222115@gmail.com" TargetMode="External"/><Relationship Id="rId89" Type="http://schemas.openxmlformats.org/officeDocument/2006/relationships/hyperlink" Target="mailto:diallomohamedcherif551@gmail.com" TargetMode="External"/><Relationship Id="rId80" Type="http://schemas.openxmlformats.org/officeDocument/2006/relationships/hyperlink" Target="mailto:abdoulayebonfils1990@gmail.com" TargetMode="External"/><Relationship Id="rId82" Type="http://schemas.openxmlformats.org/officeDocument/2006/relationships/hyperlink" Target="mailto:christyngolo@gmail.com" TargetMode="External"/><Relationship Id="rId81" Type="http://schemas.openxmlformats.org/officeDocument/2006/relationships/hyperlink" Target="mailto:maxameddeeqibrahim92@gmail.com" TargetMode="External"/><Relationship Id="rId73" Type="http://schemas.openxmlformats.org/officeDocument/2006/relationships/hyperlink" Target="mailto:abuukaraxmed66@gmail.com" TargetMode="External"/><Relationship Id="rId72" Type="http://schemas.openxmlformats.org/officeDocument/2006/relationships/hyperlink" Target="mailto:talladiallo182@gmail.com" TargetMode="External"/><Relationship Id="rId75" Type="http://schemas.openxmlformats.org/officeDocument/2006/relationships/hyperlink" Target="mailto:bb6204719@gmail.com" TargetMode="External"/><Relationship Id="rId74" Type="http://schemas.openxmlformats.org/officeDocument/2006/relationships/hyperlink" Target="mailto:mahambasadikijohnson@gmail.com" TargetMode="External"/><Relationship Id="rId77" Type="http://schemas.openxmlformats.org/officeDocument/2006/relationships/hyperlink" Target="mailto:tchobybambe@gmail.com" TargetMode="External"/><Relationship Id="rId76" Type="http://schemas.openxmlformats.org/officeDocument/2006/relationships/hyperlink" Target="mailto:louapierre496@gmail.com" TargetMode="External"/><Relationship Id="rId79" Type="http://schemas.openxmlformats.org/officeDocument/2006/relationships/hyperlink" Target="mailto:oulasset@gmail.com" TargetMode="External"/><Relationship Id="rId78" Type="http://schemas.openxmlformats.org/officeDocument/2006/relationships/hyperlink" Target="mailto:it1153731@gmail.com" TargetMode="External"/><Relationship Id="rId71" Type="http://schemas.openxmlformats.org/officeDocument/2006/relationships/hyperlink" Target="mailto:Lynlsdesigns12@gmail.com" TargetMode="External"/><Relationship Id="rId70" Type="http://schemas.openxmlformats.org/officeDocument/2006/relationships/hyperlink" Target="mailto:sc7994832@gmail.com" TargetMode="External"/><Relationship Id="rId62" Type="http://schemas.openxmlformats.org/officeDocument/2006/relationships/hyperlink" Target="mailto:aimempunga33@gmail.com" TargetMode="External"/><Relationship Id="rId61" Type="http://schemas.openxmlformats.org/officeDocument/2006/relationships/hyperlink" Target="mailto:arnoldekasekemasimango21@gmail.com" TargetMode="External"/><Relationship Id="rId64" Type="http://schemas.openxmlformats.org/officeDocument/2006/relationships/hyperlink" Target="mailto:Kromahmariam023@gmail.com" TargetMode="External"/><Relationship Id="rId63" Type="http://schemas.openxmlformats.org/officeDocument/2006/relationships/hyperlink" Target="mailto:nusridinmohamed633@gmail.com" TargetMode="External"/><Relationship Id="rId66" Type="http://schemas.openxmlformats.org/officeDocument/2006/relationships/hyperlink" Target="mailto:kalemadestin@gmail.com" TargetMode="External"/><Relationship Id="rId65" Type="http://schemas.openxmlformats.org/officeDocument/2006/relationships/hyperlink" Target="mailto:franciskone2224@gmail.com" TargetMode="External"/><Relationship Id="rId68" Type="http://schemas.openxmlformats.org/officeDocument/2006/relationships/hyperlink" Target="mailto:odoibernice6@gmail.com" TargetMode="External"/><Relationship Id="rId67" Type="http://schemas.openxmlformats.org/officeDocument/2006/relationships/hyperlink" Target="mailto:Diaguilyt095@gmail.com" TargetMode="External"/><Relationship Id="rId60" Type="http://schemas.openxmlformats.org/officeDocument/2006/relationships/hyperlink" Target="mailto:kazimbiligilckbes@gmail.com" TargetMode="External"/><Relationship Id="rId69" Type="http://schemas.openxmlformats.org/officeDocument/2006/relationships/hyperlink" Target="mailto:manjaibah2014@gmail.com" TargetMode="External"/><Relationship Id="rId51" Type="http://schemas.openxmlformats.org/officeDocument/2006/relationships/hyperlink" Target="mailto:berthinotnfs@gmail.com" TargetMode="External"/><Relationship Id="rId50" Type="http://schemas.openxmlformats.org/officeDocument/2006/relationships/hyperlink" Target="mailto:ngomserign2019@gmail.com" TargetMode="External"/><Relationship Id="rId53" Type="http://schemas.openxmlformats.org/officeDocument/2006/relationships/hyperlink" Target="mailto:dsinger@madisongroup.ca" TargetMode="External"/><Relationship Id="rId52" Type="http://schemas.openxmlformats.org/officeDocument/2006/relationships/hyperlink" Target="mailto:paguycimbulu10@gmail.com" TargetMode="External"/><Relationship Id="rId55" Type="http://schemas.openxmlformats.org/officeDocument/2006/relationships/hyperlink" Target="mailto:Arnoldcisse606@gmail.com" TargetMode="External"/><Relationship Id="rId54" Type="http://schemas.openxmlformats.org/officeDocument/2006/relationships/hyperlink" Target="mailto:ahmedkhadr1971@gmail.com" TargetMode="External"/><Relationship Id="rId57" Type="http://schemas.openxmlformats.org/officeDocument/2006/relationships/hyperlink" Target="mailto:coiffuremetta@gmail.com" TargetMode="External"/><Relationship Id="rId56" Type="http://schemas.openxmlformats.org/officeDocument/2006/relationships/hyperlink" Target="mailto:hermanngnahore007@gmail.com" TargetMode="External"/><Relationship Id="rId59" Type="http://schemas.openxmlformats.org/officeDocument/2006/relationships/hyperlink" Target="mailto:keitasalif1993@gmail.com" TargetMode="External"/><Relationship Id="rId58" Type="http://schemas.openxmlformats.org/officeDocument/2006/relationships/hyperlink" Target="mailto:keitasalif1993@gmail.com" TargetMode="External"/><Relationship Id="rId107" Type="http://schemas.openxmlformats.org/officeDocument/2006/relationships/hyperlink" Target="mailto:Levisdjo431@gmail.com" TargetMode="External"/><Relationship Id="rId228" Type="http://schemas.openxmlformats.org/officeDocument/2006/relationships/hyperlink" Target="mailto:Mdianko35@gmail.com" TargetMode="External"/><Relationship Id="rId349" Type="http://schemas.openxmlformats.org/officeDocument/2006/relationships/hyperlink" Target="mailto:Sahoorak5455@gmail.com" TargetMode="External"/><Relationship Id="rId106" Type="http://schemas.openxmlformats.org/officeDocument/2006/relationships/hyperlink" Target="mailto:minsereyaxel@gmail.com" TargetMode="External"/><Relationship Id="rId227" Type="http://schemas.openxmlformats.org/officeDocument/2006/relationships/hyperlink" Target="mailto:diallosory281@gmail.com" TargetMode="External"/><Relationship Id="rId348" Type="http://schemas.openxmlformats.org/officeDocument/2006/relationships/hyperlink" Target="mailto:mahbub7@aol.com" TargetMode="External"/><Relationship Id="rId469" Type="http://schemas.openxmlformats.org/officeDocument/2006/relationships/hyperlink" Target="mailto:shams.siddiqui@hotmail.com" TargetMode="External"/><Relationship Id="rId105" Type="http://schemas.openxmlformats.org/officeDocument/2006/relationships/hyperlink" Target="mailto:hacimanafulgence339@gmail.com" TargetMode="External"/><Relationship Id="rId226" Type="http://schemas.openxmlformats.org/officeDocument/2006/relationships/hyperlink" Target="mailto:louisruidanfa@gmail.com" TargetMode="External"/><Relationship Id="rId347" Type="http://schemas.openxmlformats.org/officeDocument/2006/relationships/hyperlink" Target="mailto:tylerstinson9@hotmail.com" TargetMode="External"/><Relationship Id="rId468" Type="http://schemas.openxmlformats.org/officeDocument/2006/relationships/hyperlink" Target="mailto:drvpsingh65@outlook.com" TargetMode="External"/><Relationship Id="rId104" Type="http://schemas.openxmlformats.org/officeDocument/2006/relationships/hyperlink" Target="mailto:kt237097@gmail.com" TargetMode="External"/><Relationship Id="rId225" Type="http://schemas.openxmlformats.org/officeDocument/2006/relationships/hyperlink" Target="mailto:wwwa.sulkingsulking@gmail.com" TargetMode="External"/><Relationship Id="rId346" Type="http://schemas.openxmlformats.org/officeDocument/2006/relationships/hyperlink" Target="mailto:Marissa.monrose@gmail.com" TargetMode="External"/><Relationship Id="rId467" Type="http://schemas.openxmlformats.org/officeDocument/2006/relationships/hyperlink" Target="mailto:Lisa-machado1@hotmail.com" TargetMode="External"/><Relationship Id="rId109" Type="http://schemas.openxmlformats.org/officeDocument/2006/relationships/hyperlink" Target="mailto:sannymohamedm@gmail.com" TargetMode="External"/><Relationship Id="rId108" Type="http://schemas.openxmlformats.org/officeDocument/2006/relationships/hyperlink" Target="mailto:samsonkamphen06@gmail.com" TargetMode="External"/><Relationship Id="rId229" Type="http://schemas.openxmlformats.org/officeDocument/2006/relationships/hyperlink" Target="mailto:Amarch229@gmail.com" TargetMode="External"/><Relationship Id="rId220" Type="http://schemas.openxmlformats.org/officeDocument/2006/relationships/hyperlink" Target="mailto:baoumouhawa856@icloud.com" TargetMode="External"/><Relationship Id="rId341" Type="http://schemas.openxmlformats.org/officeDocument/2006/relationships/hyperlink" Target="mailto:edwin.ricahuerta.er@gmail.com" TargetMode="External"/><Relationship Id="rId462" Type="http://schemas.openxmlformats.org/officeDocument/2006/relationships/hyperlink" Target="mailto:jewel_sarker2004@yahoo.com" TargetMode="External"/><Relationship Id="rId340" Type="http://schemas.openxmlformats.org/officeDocument/2006/relationships/hyperlink" Target="mailto:Matziee06@gmail.com" TargetMode="External"/><Relationship Id="rId461" Type="http://schemas.openxmlformats.org/officeDocument/2006/relationships/hyperlink" Target="mailto:chandrikakandaiyah@icloud.com" TargetMode="External"/><Relationship Id="rId460" Type="http://schemas.openxmlformats.org/officeDocument/2006/relationships/hyperlink" Target="mailto:louelalunan@yahoo.com" TargetMode="External"/><Relationship Id="rId103" Type="http://schemas.openxmlformats.org/officeDocument/2006/relationships/hyperlink" Target="mailto:a621039743@gmail.com" TargetMode="External"/><Relationship Id="rId224" Type="http://schemas.openxmlformats.org/officeDocument/2006/relationships/hyperlink" Target="mailto:baha68840@gmail.com" TargetMode="External"/><Relationship Id="rId345" Type="http://schemas.openxmlformats.org/officeDocument/2006/relationships/hyperlink" Target="mailto:bclarens@gmail.com" TargetMode="External"/><Relationship Id="rId466" Type="http://schemas.openxmlformats.org/officeDocument/2006/relationships/hyperlink" Target="mailto:theweldongroup@rogers.com" TargetMode="External"/><Relationship Id="rId102" Type="http://schemas.openxmlformats.org/officeDocument/2006/relationships/hyperlink" Target="mailto:jujuabo62@gmail.com" TargetMode="External"/><Relationship Id="rId223" Type="http://schemas.openxmlformats.org/officeDocument/2006/relationships/hyperlink" Target="mailto:bayeserignethiaw792@gmail.com" TargetMode="External"/><Relationship Id="rId344" Type="http://schemas.openxmlformats.org/officeDocument/2006/relationships/hyperlink" Target="mailto:vnojan_1995@hotmail.com" TargetMode="External"/><Relationship Id="rId465" Type="http://schemas.openxmlformats.org/officeDocument/2006/relationships/hyperlink" Target="mailto:aab.sofia@yahoo.com" TargetMode="External"/><Relationship Id="rId101" Type="http://schemas.openxmlformats.org/officeDocument/2006/relationships/hyperlink" Target="mailto:cravololonirina04@gmail.com" TargetMode="External"/><Relationship Id="rId222" Type="http://schemas.openxmlformats.org/officeDocument/2006/relationships/hyperlink" Target="mailto:youlamohamed61@gmail.com" TargetMode="External"/><Relationship Id="rId343" Type="http://schemas.openxmlformats.org/officeDocument/2006/relationships/hyperlink" Target="mailto:nahidaktar1970@gmail.com" TargetMode="External"/><Relationship Id="rId464" Type="http://schemas.openxmlformats.org/officeDocument/2006/relationships/hyperlink" Target="mailto:nelma323@hotmail.com" TargetMode="External"/><Relationship Id="rId100" Type="http://schemas.openxmlformats.org/officeDocument/2006/relationships/hyperlink" Target="mailto:ibngoyiglad@gmail.com" TargetMode="External"/><Relationship Id="rId221" Type="http://schemas.openxmlformats.org/officeDocument/2006/relationships/hyperlink" Target="mailto:adelinkimbu@icloud.com" TargetMode="External"/><Relationship Id="rId342" Type="http://schemas.openxmlformats.org/officeDocument/2006/relationships/hyperlink" Target="mailto:debowago@gmail.com" TargetMode="External"/><Relationship Id="rId463" Type="http://schemas.openxmlformats.org/officeDocument/2006/relationships/hyperlink" Target="mailto:devinder28@hotmail.com" TargetMode="External"/><Relationship Id="rId217" Type="http://schemas.openxmlformats.org/officeDocument/2006/relationships/hyperlink" Target="mailto:seynaboufaye403@gmail.com" TargetMode="External"/><Relationship Id="rId338" Type="http://schemas.openxmlformats.org/officeDocument/2006/relationships/hyperlink" Target="mailto:venera.bandzoski@rogers.com" TargetMode="External"/><Relationship Id="rId459" Type="http://schemas.openxmlformats.org/officeDocument/2006/relationships/hyperlink" Target="mailto:saleh.yafaa5124@gmail.com" TargetMode="External"/><Relationship Id="rId216" Type="http://schemas.openxmlformats.org/officeDocument/2006/relationships/hyperlink" Target="mailto:princilia.ndongo@gmail.com" TargetMode="External"/><Relationship Id="rId337" Type="http://schemas.openxmlformats.org/officeDocument/2006/relationships/hyperlink" Target="mailto:ALLSERVICES@BELLNET.CA" TargetMode="External"/><Relationship Id="rId458" Type="http://schemas.openxmlformats.org/officeDocument/2006/relationships/hyperlink" Target="mailto:Gofastexpressinc@hotmail.ca" TargetMode="External"/><Relationship Id="rId215" Type="http://schemas.openxmlformats.org/officeDocument/2006/relationships/hyperlink" Target="mailto:miltidorjuanito@gmail.com" TargetMode="External"/><Relationship Id="rId336" Type="http://schemas.openxmlformats.org/officeDocument/2006/relationships/hyperlink" Target="mailto:olistevens@students.dsbn.org" TargetMode="External"/><Relationship Id="rId457" Type="http://schemas.openxmlformats.org/officeDocument/2006/relationships/hyperlink" Target="mailto:desjardinsjerry8@gmail.com" TargetMode="External"/><Relationship Id="rId214" Type="http://schemas.openxmlformats.org/officeDocument/2006/relationships/hyperlink" Target="mailto:nithiya.suntharalingam@gmail.com" TargetMode="External"/><Relationship Id="rId335" Type="http://schemas.openxmlformats.org/officeDocument/2006/relationships/hyperlink" Target="mailto:Ajithpg21@yahoo.com" TargetMode="External"/><Relationship Id="rId456" Type="http://schemas.openxmlformats.org/officeDocument/2006/relationships/hyperlink" Target="mailto:t_zehra@outlookw.com" TargetMode="External"/><Relationship Id="rId219" Type="http://schemas.openxmlformats.org/officeDocument/2006/relationships/hyperlink" Target="mailto:tomlinsongwendolyn496@gmail.com" TargetMode="External"/><Relationship Id="rId218" Type="http://schemas.openxmlformats.org/officeDocument/2006/relationships/hyperlink" Target="mailto:massemorty.78@gmail.com" TargetMode="External"/><Relationship Id="rId339" Type="http://schemas.openxmlformats.org/officeDocument/2006/relationships/hyperlink" Target="mailto:simonkellu@hotmail.com" TargetMode="External"/><Relationship Id="rId330" Type="http://schemas.openxmlformats.org/officeDocument/2006/relationships/hyperlink" Target="mailto:Taisavory@hotmail.com" TargetMode="External"/><Relationship Id="rId451" Type="http://schemas.openxmlformats.org/officeDocument/2006/relationships/hyperlink" Target="mailto:mani.kumar70@yahoo.com" TargetMode="External"/><Relationship Id="rId450" Type="http://schemas.openxmlformats.org/officeDocument/2006/relationships/hyperlink" Target="mailto:marthadelgrande@yahoo.ca" TargetMode="External"/><Relationship Id="rId213" Type="http://schemas.openxmlformats.org/officeDocument/2006/relationships/hyperlink" Target="mailto:kebabacary@gmail.com" TargetMode="External"/><Relationship Id="rId334" Type="http://schemas.openxmlformats.org/officeDocument/2006/relationships/hyperlink" Target="mailto:haider4107@gmail.com" TargetMode="External"/><Relationship Id="rId455" Type="http://schemas.openxmlformats.org/officeDocument/2006/relationships/hyperlink" Target="mailto:janemerrill100@gmail.com" TargetMode="External"/><Relationship Id="rId212" Type="http://schemas.openxmlformats.org/officeDocument/2006/relationships/hyperlink" Target="mailto:grifondoresylvestre@gmail.com" TargetMode="External"/><Relationship Id="rId333" Type="http://schemas.openxmlformats.org/officeDocument/2006/relationships/hyperlink" Target="mailto:atique_designer@yahoo.ca" TargetMode="External"/><Relationship Id="rId454" Type="http://schemas.openxmlformats.org/officeDocument/2006/relationships/hyperlink" Target="mailto:Perfectimagepainting@hotmail.com" TargetMode="External"/><Relationship Id="rId211" Type="http://schemas.openxmlformats.org/officeDocument/2006/relationships/hyperlink" Target="mailto:lukambamartin08@gmail.com" TargetMode="External"/><Relationship Id="rId332" Type="http://schemas.openxmlformats.org/officeDocument/2006/relationships/hyperlink" Target="mailto:pankiltailor19192@gmail.com" TargetMode="External"/><Relationship Id="rId453" Type="http://schemas.openxmlformats.org/officeDocument/2006/relationships/hyperlink" Target="mailto:charlesprovis9@gmail.com" TargetMode="External"/><Relationship Id="rId210" Type="http://schemas.openxmlformats.org/officeDocument/2006/relationships/hyperlink" Target="mailto:christophegomis71@gmail.com" TargetMode="External"/><Relationship Id="rId331" Type="http://schemas.openxmlformats.org/officeDocument/2006/relationships/hyperlink" Target="mailto:laurie77555@aol.com" TargetMode="External"/><Relationship Id="rId452" Type="http://schemas.openxmlformats.org/officeDocument/2006/relationships/hyperlink" Target="mailto:jamie@jamiesylvester.com" TargetMode="External"/><Relationship Id="rId370" Type="http://schemas.openxmlformats.org/officeDocument/2006/relationships/hyperlink" Target="mailto:sripathi@yahoo.com" TargetMode="External"/><Relationship Id="rId491" Type="http://schemas.openxmlformats.org/officeDocument/2006/relationships/hyperlink" Target="mailto:fchrisgeorge@gmail.com" TargetMode="External"/><Relationship Id="rId490" Type="http://schemas.openxmlformats.org/officeDocument/2006/relationships/hyperlink" Target="mailto:joanrose.wilson@gmail.com" TargetMode="External"/><Relationship Id="rId129" Type="http://schemas.openxmlformats.org/officeDocument/2006/relationships/hyperlink" Target="mailto:helebakedemdele@gmail.com" TargetMode="External"/><Relationship Id="rId128" Type="http://schemas.openxmlformats.org/officeDocument/2006/relationships/hyperlink" Target="mailto:elhadjidiallo.20@icloud.com" TargetMode="External"/><Relationship Id="rId249" Type="http://schemas.openxmlformats.org/officeDocument/2006/relationships/hyperlink" Target="mailto:generationecologie15@gmail.com" TargetMode="External"/><Relationship Id="rId127" Type="http://schemas.openxmlformats.org/officeDocument/2006/relationships/hyperlink" Target="mailto:abdoulaye59@gmail.com" TargetMode="External"/><Relationship Id="rId248" Type="http://schemas.openxmlformats.org/officeDocument/2006/relationships/hyperlink" Target="mailto:Gracematamba234@gmail.com" TargetMode="External"/><Relationship Id="rId369" Type="http://schemas.openxmlformats.org/officeDocument/2006/relationships/hyperlink" Target="mailto:hisham_hasanein@yahoo.com" TargetMode="External"/><Relationship Id="rId126" Type="http://schemas.openxmlformats.org/officeDocument/2006/relationships/hyperlink" Target="mailto:kamamamadoulamine@gmail.com" TargetMode="External"/><Relationship Id="rId247" Type="http://schemas.openxmlformats.org/officeDocument/2006/relationships/hyperlink" Target="mailto:barrydawda515@gmail.com" TargetMode="External"/><Relationship Id="rId368" Type="http://schemas.openxmlformats.org/officeDocument/2006/relationships/hyperlink" Target="mailto:adrian.rajasingam@gmail.com" TargetMode="External"/><Relationship Id="rId489" Type="http://schemas.openxmlformats.org/officeDocument/2006/relationships/hyperlink" Target="mailto:Sajidap87@gmail.com" TargetMode="External"/><Relationship Id="rId121" Type="http://schemas.openxmlformats.org/officeDocument/2006/relationships/hyperlink" Target="mailto:matchseigneur@gmail.com" TargetMode="External"/><Relationship Id="rId242" Type="http://schemas.openxmlformats.org/officeDocument/2006/relationships/hyperlink" Target="mailto:Aswinbah4@gmail.com" TargetMode="External"/><Relationship Id="rId363" Type="http://schemas.openxmlformats.org/officeDocument/2006/relationships/hyperlink" Target="mailto:nidhi@dreamhouserealestate.ca" TargetMode="External"/><Relationship Id="rId484" Type="http://schemas.openxmlformats.org/officeDocument/2006/relationships/hyperlink" Target="mailto:Joseph.e.guirguis@gmail.com" TargetMode="External"/><Relationship Id="rId120" Type="http://schemas.openxmlformats.org/officeDocument/2006/relationships/hyperlink" Target="mailto:seigneur@gmail.com" TargetMode="External"/><Relationship Id="rId241" Type="http://schemas.openxmlformats.org/officeDocument/2006/relationships/hyperlink" Target="mailto:Maskboy197@gmail.com" TargetMode="External"/><Relationship Id="rId362" Type="http://schemas.openxmlformats.org/officeDocument/2006/relationships/hyperlink" Target="mailto:yilmazaslan@gmail.com" TargetMode="External"/><Relationship Id="rId483" Type="http://schemas.openxmlformats.org/officeDocument/2006/relationships/hyperlink" Target="mailto:Ashinasuresh@hotmail.com" TargetMode="External"/><Relationship Id="rId240" Type="http://schemas.openxmlformats.org/officeDocument/2006/relationships/hyperlink" Target="mailto:jallowmamadoum9@gmail.com" TargetMode="External"/><Relationship Id="rId361" Type="http://schemas.openxmlformats.org/officeDocument/2006/relationships/hyperlink" Target="mailto:arukshanv@gmail.com" TargetMode="External"/><Relationship Id="rId482" Type="http://schemas.openxmlformats.org/officeDocument/2006/relationships/hyperlink" Target="mailto:CHANTALE.JOHANNSON@icloud.COM" TargetMode="External"/><Relationship Id="rId360" Type="http://schemas.openxmlformats.org/officeDocument/2006/relationships/hyperlink" Target="mailto:hanilicious09@gmail.com" TargetMode="External"/><Relationship Id="rId481" Type="http://schemas.openxmlformats.org/officeDocument/2006/relationships/hyperlink" Target="mailto:audley@terroni.com" TargetMode="External"/><Relationship Id="rId125" Type="http://schemas.openxmlformats.org/officeDocument/2006/relationships/hyperlink" Target="mailto:guyalingi@gmail.com" TargetMode="External"/><Relationship Id="rId246" Type="http://schemas.openxmlformats.org/officeDocument/2006/relationships/hyperlink" Target="mailto:Sarr69033@gmail.com" TargetMode="External"/><Relationship Id="rId367" Type="http://schemas.openxmlformats.org/officeDocument/2006/relationships/hyperlink" Target="mailto:marisolpulidogalindo@hotmail.com" TargetMode="External"/><Relationship Id="rId488" Type="http://schemas.openxmlformats.org/officeDocument/2006/relationships/hyperlink" Target="mailto:hopemsk10@gmail.com" TargetMode="External"/><Relationship Id="rId124" Type="http://schemas.openxmlformats.org/officeDocument/2006/relationships/hyperlink" Target="mailto:bambamakhtar2@gmail.com" TargetMode="External"/><Relationship Id="rId245" Type="http://schemas.openxmlformats.org/officeDocument/2006/relationships/hyperlink" Target="mailto:wehalvin1986@gmail.com" TargetMode="External"/><Relationship Id="rId366" Type="http://schemas.openxmlformats.org/officeDocument/2006/relationships/hyperlink" Target="mailto:durf2001@hotmail.com" TargetMode="External"/><Relationship Id="rId487" Type="http://schemas.openxmlformats.org/officeDocument/2006/relationships/hyperlink" Target="mailto:rosine@royalcanadianrealty.com" TargetMode="External"/><Relationship Id="rId123" Type="http://schemas.openxmlformats.org/officeDocument/2006/relationships/hyperlink" Target="mailto:cheikhoudemba171@gmail.com" TargetMode="External"/><Relationship Id="rId244" Type="http://schemas.openxmlformats.org/officeDocument/2006/relationships/hyperlink" Target="mailto:mdiallo237@gamil.com" TargetMode="External"/><Relationship Id="rId365" Type="http://schemas.openxmlformats.org/officeDocument/2006/relationships/hyperlink" Target="mailto:Nicole.montoni@georgebrown.ca" TargetMode="External"/><Relationship Id="rId486" Type="http://schemas.openxmlformats.org/officeDocument/2006/relationships/hyperlink" Target="mailto:Naomi.ahanon@hotmail.com" TargetMode="External"/><Relationship Id="rId122" Type="http://schemas.openxmlformats.org/officeDocument/2006/relationships/hyperlink" Target="mailto:Samytabana69@gmail.com" TargetMode="External"/><Relationship Id="rId243" Type="http://schemas.openxmlformats.org/officeDocument/2006/relationships/hyperlink" Target="mailto:korasy744@gmail.com" TargetMode="External"/><Relationship Id="rId364" Type="http://schemas.openxmlformats.org/officeDocument/2006/relationships/hyperlink" Target="mailto:vanessandowner@gmail.com" TargetMode="External"/><Relationship Id="rId485" Type="http://schemas.openxmlformats.org/officeDocument/2006/relationships/hyperlink" Target="mailto:downeycheyanne@outlook.com" TargetMode="External"/><Relationship Id="rId95" Type="http://schemas.openxmlformats.org/officeDocument/2006/relationships/hyperlink" Target="mailto:mariamaissa09@gmail.com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mailto:Aquilania96@gmail.com" TargetMode="External"/><Relationship Id="rId96" Type="http://schemas.openxmlformats.org/officeDocument/2006/relationships/hyperlink" Target="mailto:youssoufbamigboche@gmail.com" TargetMode="External"/><Relationship Id="rId99" Type="http://schemas.openxmlformats.org/officeDocument/2006/relationships/hyperlink" Target="mailto:moukalastevewarson@gmail.com" TargetMode="External"/><Relationship Id="rId480" Type="http://schemas.openxmlformats.org/officeDocument/2006/relationships/hyperlink" Target="mailto:vdsingh1972@gmail.com" TargetMode="External"/><Relationship Id="rId98" Type="http://schemas.openxmlformats.org/officeDocument/2006/relationships/hyperlink" Target="mailto:giresseinya001@gmail.com" TargetMode="External"/><Relationship Id="rId91" Type="http://schemas.openxmlformats.org/officeDocument/2006/relationships/hyperlink" Target="mailto:systemekalilinux@gmail.com" TargetMode="External"/><Relationship Id="rId90" Type="http://schemas.openxmlformats.org/officeDocument/2006/relationships/hyperlink" Target="mailto:lamakatoma5@gmail.com" TargetMode="External"/><Relationship Id="rId93" Type="http://schemas.openxmlformats.org/officeDocument/2006/relationships/hyperlink" Target="mailto:aimeronfred4@gmail.com" TargetMode="External"/><Relationship Id="rId92" Type="http://schemas.openxmlformats.org/officeDocument/2006/relationships/hyperlink" Target="mailto:ftwambemmanuel2019@gmail.com" TargetMode="External"/><Relationship Id="rId118" Type="http://schemas.openxmlformats.org/officeDocument/2006/relationships/hyperlink" Target="mailto:ndeyengawondiaye@gmail.com" TargetMode="External"/><Relationship Id="rId239" Type="http://schemas.openxmlformats.org/officeDocument/2006/relationships/hyperlink" Target="mailto:laurencenomena24@gmail.com" TargetMode="External"/><Relationship Id="rId117" Type="http://schemas.openxmlformats.org/officeDocument/2006/relationships/hyperlink" Target="mailto:duane@duanewellington.ca" TargetMode="External"/><Relationship Id="rId238" Type="http://schemas.openxmlformats.org/officeDocument/2006/relationships/hyperlink" Target="mailto:fuadjafrani@gmail.com" TargetMode="External"/><Relationship Id="rId359" Type="http://schemas.openxmlformats.org/officeDocument/2006/relationships/hyperlink" Target="mailto:sachin.saigal2020@gmail.com" TargetMode="External"/><Relationship Id="rId116" Type="http://schemas.openxmlformats.org/officeDocument/2006/relationships/hyperlink" Target="mailto:mikaheliahs@gmail.com" TargetMode="External"/><Relationship Id="rId237" Type="http://schemas.openxmlformats.org/officeDocument/2006/relationships/hyperlink" Target="mailto:singhjagdeep2004@gmail.com" TargetMode="External"/><Relationship Id="rId358" Type="http://schemas.openxmlformats.org/officeDocument/2006/relationships/hyperlink" Target="mailto:slmichelins@gmail.com" TargetMode="External"/><Relationship Id="rId479" Type="http://schemas.openxmlformats.org/officeDocument/2006/relationships/hyperlink" Target="mailto:iluv2suckcock@fredvictor.ca" TargetMode="External"/><Relationship Id="rId115" Type="http://schemas.openxmlformats.org/officeDocument/2006/relationships/hyperlink" Target="mailto:silvernic2@gmail.com" TargetMode="External"/><Relationship Id="rId236" Type="http://schemas.openxmlformats.org/officeDocument/2006/relationships/hyperlink" Target="mailto:fkfatima008@gmail.com" TargetMode="External"/><Relationship Id="rId357" Type="http://schemas.openxmlformats.org/officeDocument/2006/relationships/hyperlink" Target="mailto:Saarazavi@hotmail.com" TargetMode="External"/><Relationship Id="rId478" Type="http://schemas.openxmlformats.org/officeDocument/2006/relationships/hyperlink" Target="mailto:kapilgautam.192@gmail.com" TargetMode="External"/><Relationship Id="rId119" Type="http://schemas.openxmlformats.org/officeDocument/2006/relationships/hyperlink" Target="mailto:nizeyimana189@gmail.com" TargetMode="External"/><Relationship Id="rId110" Type="http://schemas.openxmlformats.org/officeDocument/2006/relationships/hyperlink" Target="mailto:jesustimatou77@gmail.com" TargetMode="External"/><Relationship Id="rId231" Type="http://schemas.openxmlformats.org/officeDocument/2006/relationships/hyperlink" Target="mailto:tokpahmoses427@gmail.com" TargetMode="External"/><Relationship Id="rId352" Type="http://schemas.openxmlformats.org/officeDocument/2006/relationships/hyperlink" Target="mailto:eronwonseleayeni@gmail.com" TargetMode="External"/><Relationship Id="rId473" Type="http://schemas.openxmlformats.org/officeDocument/2006/relationships/hyperlink" Target="mailto:a.shuvalsky@gmail.com" TargetMode="External"/><Relationship Id="rId230" Type="http://schemas.openxmlformats.org/officeDocument/2006/relationships/hyperlink" Target="mailto:taofiqbagbiaga@gmail.com" TargetMode="External"/><Relationship Id="rId351" Type="http://schemas.openxmlformats.org/officeDocument/2006/relationships/hyperlink" Target="mailto:fayyaz416@gmail.com" TargetMode="External"/><Relationship Id="rId472" Type="http://schemas.openxmlformats.org/officeDocument/2006/relationships/hyperlink" Target="mailto:Habibwaqar080@gmail.com" TargetMode="External"/><Relationship Id="rId350" Type="http://schemas.openxmlformats.org/officeDocument/2006/relationships/hyperlink" Target="mailto:amitgoel0404@gmail.com" TargetMode="External"/><Relationship Id="rId471" Type="http://schemas.openxmlformats.org/officeDocument/2006/relationships/hyperlink" Target="mailto:mkcchen815@gmail.com" TargetMode="External"/><Relationship Id="rId470" Type="http://schemas.openxmlformats.org/officeDocument/2006/relationships/hyperlink" Target="mailto:anajcarrasquel@gmail.com" TargetMode="External"/><Relationship Id="rId114" Type="http://schemas.openxmlformats.org/officeDocument/2006/relationships/hyperlink" Target="mailto:jana.r020@gmail.com" TargetMode="External"/><Relationship Id="rId235" Type="http://schemas.openxmlformats.org/officeDocument/2006/relationships/hyperlink" Target="mailto:ameliadiane830@gmail.com" TargetMode="External"/><Relationship Id="rId356" Type="http://schemas.openxmlformats.org/officeDocument/2006/relationships/hyperlink" Target="mailto:chris.lim@live.com.my" TargetMode="External"/><Relationship Id="rId477" Type="http://schemas.openxmlformats.org/officeDocument/2006/relationships/hyperlink" Target="mailto:sourlisaliyah2@gmsil.com" TargetMode="External"/><Relationship Id="rId113" Type="http://schemas.openxmlformats.org/officeDocument/2006/relationships/hyperlink" Target="mailto:oumarbat71@gmail.com" TargetMode="External"/><Relationship Id="rId234" Type="http://schemas.openxmlformats.org/officeDocument/2006/relationships/hyperlink" Target="mailto:nanoucheemma@gmail.com" TargetMode="External"/><Relationship Id="rId355" Type="http://schemas.openxmlformats.org/officeDocument/2006/relationships/hyperlink" Target="mailto:nkembamgbose@gmail.com" TargetMode="External"/><Relationship Id="rId476" Type="http://schemas.openxmlformats.org/officeDocument/2006/relationships/hyperlink" Target="mailto:hab786@gmail.com" TargetMode="External"/><Relationship Id="rId112" Type="http://schemas.openxmlformats.org/officeDocument/2006/relationships/hyperlink" Target="mailto:moustaphaconde061@gmail.com" TargetMode="External"/><Relationship Id="rId233" Type="http://schemas.openxmlformats.org/officeDocument/2006/relationships/hyperlink" Target="mailto:abdouliet731@gmail.com" TargetMode="External"/><Relationship Id="rId354" Type="http://schemas.openxmlformats.org/officeDocument/2006/relationships/hyperlink" Target="mailto:tristan@march1stmedia.com" TargetMode="External"/><Relationship Id="rId475" Type="http://schemas.openxmlformats.org/officeDocument/2006/relationships/hyperlink" Target="mailto:laxmithasurendran@gmail.com" TargetMode="External"/><Relationship Id="rId111" Type="http://schemas.openxmlformats.org/officeDocument/2006/relationships/hyperlink" Target="mailto:nzayibona69@gmail.com" TargetMode="External"/><Relationship Id="rId232" Type="http://schemas.openxmlformats.org/officeDocument/2006/relationships/hyperlink" Target="mailto:Ilimabdel00@gmail.com" TargetMode="External"/><Relationship Id="rId353" Type="http://schemas.openxmlformats.org/officeDocument/2006/relationships/hyperlink" Target="mailto:mmanhas@ryan-design.com" TargetMode="External"/><Relationship Id="rId474" Type="http://schemas.openxmlformats.org/officeDocument/2006/relationships/hyperlink" Target="mailto:mike.b.sperling@gmail.com" TargetMode="External"/><Relationship Id="rId305" Type="http://schemas.openxmlformats.org/officeDocument/2006/relationships/hyperlink" Target="mailto:wajahat.j29@gmail.com" TargetMode="External"/><Relationship Id="rId426" Type="http://schemas.openxmlformats.org/officeDocument/2006/relationships/hyperlink" Target="mailto:babarriaza@yahoo.com" TargetMode="External"/><Relationship Id="rId304" Type="http://schemas.openxmlformats.org/officeDocument/2006/relationships/hyperlink" Target="mailto:Sahar.rizvi01@gmail.com" TargetMode="External"/><Relationship Id="rId425" Type="http://schemas.openxmlformats.org/officeDocument/2006/relationships/hyperlink" Target="mailto:ericacherisherica@gmail.com" TargetMode="External"/><Relationship Id="rId303" Type="http://schemas.openxmlformats.org/officeDocument/2006/relationships/hyperlink" Target="mailto:cheecks3@gmail.com" TargetMode="External"/><Relationship Id="rId424" Type="http://schemas.openxmlformats.org/officeDocument/2006/relationships/hyperlink" Target="mailto:lee119u@gmail.com" TargetMode="External"/><Relationship Id="rId302" Type="http://schemas.openxmlformats.org/officeDocument/2006/relationships/hyperlink" Target="mailto:buywithsushil@gmail.com" TargetMode="External"/><Relationship Id="rId423" Type="http://schemas.openxmlformats.org/officeDocument/2006/relationships/hyperlink" Target="mailto:doodleyprints@gmail.com" TargetMode="External"/><Relationship Id="rId309" Type="http://schemas.openxmlformats.org/officeDocument/2006/relationships/hyperlink" Target="mailto:mustangfanatic05@hotmail.com" TargetMode="External"/><Relationship Id="rId308" Type="http://schemas.openxmlformats.org/officeDocument/2006/relationships/hyperlink" Target="mailto:agent@primenewcondos.com" TargetMode="External"/><Relationship Id="rId429" Type="http://schemas.openxmlformats.org/officeDocument/2006/relationships/hyperlink" Target="mailto:Admin@advancedalarmsltd.com" TargetMode="External"/><Relationship Id="rId307" Type="http://schemas.openxmlformats.org/officeDocument/2006/relationships/hyperlink" Target="mailto:korin.abdelsayed@gmail.com" TargetMode="External"/><Relationship Id="rId428" Type="http://schemas.openxmlformats.org/officeDocument/2006/relationships/hyperlink" Target="mailto:dd3609567@gmail.com" TargetMode="External"/><Relationship Id="rId306" Type="http://schemas.openxmlformats.org/officeDocument/2006/relationships/hyperlink" Target="mailto:anchowdhry@gmail.com" TargetMode="External"/><Relationship Id="rId427" Type="http://schemas.openxmlformats.org/officeDocument/2006/relationships/hyperlink" Target="mailto:jacksmithlokixx9882@gmail.com" TargetMode="External"/><Relationship Id="rId301" Type="http://schemas.openxmlformats.org/officeDocument/2006/relationships/hyperlink" Target="mailto:ahamouda@hotmail.com" TargetMode="External"/><Relationship Id="rId422" Type="http://schemas.openxmlformats.org/officeDocument/2006/relationships/hyperlink" Target="mailto:vanessa79.teacher@gmail.com" TargetMode="External"/><Relationship Id="rId300" Type="http://schemas.openxmlformats.org/officeDocument/2006/relationships/hyperlink" Target="mailto:iamaaronsaunders@gmail.com" TargetMode="External"/><Relationship Id="rId421" Type="http://schemas.openxmlformats.org/officeDocument/2006/relationships/hyperlink" Target="mailto:rayahg94@gmail.com" TargetMode="External"/><Relationship Id="rId420" Type="http://schemas.openxmlformats.org/officeDocument/2006/relationships/hyperlink" Target="mailto:Iqbalkarim4@gmail.com" TargetMode="External"/><Relationship Id="rId415" Type="http://schemas.openxmlformats.org/officeDocument/2006/relationships/hyperlink" Target="mailto:nelsonmassey@outlook.com" TargetMode="External"/><Relationship Id="rId414" Type="http://schemas.openxmlformats.org/officeDocument/2006/relationships/hyperlink" Target="mailto:pdshukla016@gmail.com" TargetMode="External"/><Relationship Id="rId413" Type="http://schemas.openxmlformats.org/officeDocument/2006/relationships/hyperlink" Target="mailto:mariaanhv@yahoo.com" TargetMode="External"/><Relationship Id="rId412" Type="http://schemas.openxmlformats.org/officeDocument/2006/relationships/hyperlink" Target="mailto:Faiza1994@hotmail.de" TargetMode="External"/><Relationship Id="rId419" Type="http://schemas.openxmlformats.org/officeDocument/2006/relationships/hyperlink" Target="mailto:zohalnazeri3@gmail.com" TargetMode="External"/><Relationship Id="rId418" Type="http://schemas.openxmlformats.org/officeDocument/2006/relationships/hyperlink" Target="mailto:David.yassine@webyassine.com" TargetMode="External"/><Relationship Id="rId417" Type="http://schemas.openxmlformats.org/officeDocument/2006/relationships/hyperlink" Target="mailto:jferns8471@gmail.com" TargetMode="External"/><Relationship Id="rId416" Type="http://schemas.openxmlformats.org/officeDocument/2006/relationships/hyperlink" Target="mailto:kemhamid@gmail.com" TargetMode="External"/><Relationship Id="rId411" Type="http://schemas.openxmlformats.org/officeDocument/2006/relationships/hyperlink" Target="mailto:Claudia.decaria@yahoo.ca" TargetMode="External"/><Relationship Id="rId410" Type="http://schemas.openxmlformats.org/officeDocument/2006/relationships/hyperlink" Target="mailto:steve.waldriff@hotmail.com" TargetMode="External"/><Relationship Id="rId206" Type="http://schemas.openxmlformats.org/officeDocument/2006/relationships/hyperlink" Target="mailto:ibrahimjumu003@gmail.com" TargetMode="External"/><Relationship Id="rId327" Type="http://schemas.openxmlformats.org/officeDocument/2006/relationships/hyperlink" Target="mailto:info@markrao.com" TargetMode="External"/><Relationship Id="rId448" Type="http://schemas.openxmlformats.org/officeDocument/2006/relationships/hyperlink" Target="mailto:edvelante@hotmail.com" TargetMode="External"/><Relationship Id="rId205" Type="http://schemas.openxmlformats.org/officeDocument/2006/relationships/hyperlink" Target="mailto:eklouaugustin93@gmail.com" TargetMode="External"/><Relationship Id="rId326" Type="http://schemas.openxmlformats.org/officeDocument/2006/relationships/hyperlink" Target="mailto:doc_sadiq@yahoo.com" TargetMode="External"/><Relationship Id="rId447" Type="http://schemas.openxmlformats.org/officeDocument/2006/relationships/hyperlink" Target="mailto:denilson.fontaine@gmail.com" TargetMode="External"/><Relationship Id="rId204" Type="http://schemas.openxmlformats.org/officeDocument/2006/relationships/hyperlink" Target="mailto:cheikhndiayekhoum@yahoo.fr" TargetMode="External"/><Relationship Id="rId325" Type="http://schemas.openxmlformats.org/officeDocument/2006/relationships/hyperlink" Target="mailto:al@requity.ca" TargetMode="External"/><Relationship Id="rId446" Type="http://schemas.openxmlformats.org/officeDocument/2006/relationships/hyperlink" Target="mailto:dhimiterpema@gmail.com" TargetMode="External"/><Relationship Id="rId203" Type="http://schemas.openxmlformats.org/officeDocument/2006/relationships/hyperlink" Target="mailto:Mahamatabakarchoukou@yahoo.com" TargetMode="External"/><Relationship Id="rId324" Type="http://schemas.openxmlformats.org/officeDocument/2006/relationships/hyperlink" Target="mailto:nathan@sakmet.ca" TargetMode="External"/><Relationship Id="rId445" Type="http://schemas.openxmlformats.org/officeDocument/2006/relationships/hyperlink" Target="mailto:emiljosephpalathra23@gmail.com" TargetMode="External"/><Relationship Id="rId209" Type="http://schemas.openxmlformats.org/officeDocument/2006/relationships/hyperlink" Target="mailto:bababenyoussouf070@gmail.com" TargetMode="External"/><Relationship Id="rId208" Type="http://schemas.openxmlformats.org/officeDocument/2006/relationships/hyperlink" Target="mailto:Completecarerealestate@gmail.com" TargetMode="External"/><Relationship Id="rId329" Type="http://schemas.openxmlformats.org/officeDocument/2006/relationships/hyperlink" Target="mailto:Khan.yourrealtor@gmail.com" TargetMode="External"/><Relationship Id="rId207" Type="http://schemas.openxmlformats.org/officeDocument/2006/relationships/hyperlink" Target="mailto:ousmanediounnoudieng@gmail.com" TargetMode="External"/><Relationship Id="rId328" Type="http://schemas.openxmlformats.org/officeDocument/2006/relationships/hyperlink" Target="mailto:janajan0129@gmail.com" TargetMode="External"/><Relationship Id="rId449" Type="http://schemas.openxmlformats.org/officeDocument/2006/relationships/hyperlink" Target="mailto:markanthony.catubay@gmail.com" TargetMode="External"/><Relationship Id="rId440" Type="http://schemas.openxmlformats.org/officeDocument/2006/relationships/hyperlink" Target="mailto:naglaa26@hotmail.com" TargetMode="External"/><Relationship Id="rId202" Type="http://schemas.openxmlformats.org/officeDocument/2006/relationships/hyperlink" Target="mailto:patrick10willie@gmail.com" TargetMode="External"/><Relationship Id="rId323" Type="http://schemas.openxmlformats.org/officeDocument/2006/relationships/hyperlink" Target="mailto:annishastewt9@gmail.com" TargetMode="External"/><Relationship Id="rId444" Type="http://schemas.openxmlformats.org/officeDocument/2006/relationships/hyperlink" Target="mailto:jaydaught@gmail.com" TargetMode="External"/><Relationship Id="rId201" Type="http://schemas.openxmlformats.org/officeDocument/2006/relationships/hyperlink" Target="mailto:wajidhussainb05@gmail.com" TargetMode="External"/><Relationship Id="rId322" Type="http://schemas.openxmlformats.org/officeDocument/2006/relationships/hyperlink" Target="mailto:gkajeev@live.ca" TargetMode="External"/><Relationship Id="rId443" Type="http://schemas.openxmlformats.org/officeDocument/2006/relationships/hyperlink" Target="mailto:istvanganko25@gmail.com" TargetMode="External"/><Relationship Id="rId200" Type="http://schemas.openxmlformats.org/officeDocument/2006/relationships/hyperlink" Target="mailto:soumaoroamadou15@gmail.com" TargetMode="External"/><Relationship Id="rId321" Type="http://schemas.openxmlformats.org/officeDocument/2006/relationships/hyperlink" Target="mailto:missk2163@gmail.com" TargetMode="External"/><Relationship Id="rId442" Type="http://schemas.openxmlformats.org/officeDocument/2006/relationships/hyperlink" Target="mailto:obrientheresa84@gmail.com" TargetMode="External"/><Relationship Id="rId320" Type="http://schemas.openxmlformats.org/officeDocument/2006/relationships/hyperlink" Target="mailto:satnamsinghkareer@yahoo.com" TargetMode="External"/><Relationship Id="rId441" Type="http://schemas.openxmlformats.org/officeDocument/2006/relationships/hyperlink" Target="mailto:sadru.sekander@gmail.com" TargetMode="External"/><Relationship Id="rId316" Type="http://schemas.openxmlformats.org/officeDocument/2006/relationships/hyperlink" Target="mailto:nilufarjubilee.ca@gmail.com" TargetMode="External"/><Relationship Id="rId437" Type="http://schemas.openxmlformats.org/officeDocument/2006/relationships/hyperlink" Target="mailto:elias43nakhle@gmail.com" TargetMode="External"/><Relationship Id="rId315" Type="http://schemas.openxmlformats.org/officeDocument/2006/relationships/hyperlink" Target="mailto:Celinepodur@hotmail.com" TargetMode="External"/><Relationship Id="rId436" Type="http://schemas.openxmlformats.org/officeDocument/2006/relationships/hyperlink" Target="mailto:skayodemoses@gmail.com" TargetMode="External"/><Relationship Id="rId314" Type="http://schemas.openxmlformats.org/officeDocument/2006/relationships/hyperlink" Target="mailto:nigeleeburnett@live.ca" TargetMode="External"/><Relationship Id="rId435" Type="http://schemas.openxmlformats.org/officeDocument/2006/relationships/hyperlink" Target="mailto:pgill@royalcanadianrealty.com" TargetMode="External"/><Relationship Id="rId313" Type="http://schemas.openxmlformats.org/officeDocument/2006/relationships/hyperlink" Target="mailto:rohanda91@gmail.com" TargetMode="External"/><Relationship Id="rId434" Type="http://schemas.openxmlformats.org/officeDocument/2006/relationships/hyperlink" Target="mailto:suguna.veerla@gmail.com" TargetMode="External"/><Relationship Id="rId319" Type="http://schemas.openxmlformats.org/officeDocument/2006/relationships/hyperlink" Target="mailto:jsmickle07@hotmail.com" TargetMode="External"/><Relationship Id="rId318" Type="http://schemas.openxmlformats.org/officeDocument/2006/relationships/hyperlink" Target="mailto:Orhorhoroi@gmail.com" TargetMode="External"/><Relationship Id="rId439" Type="http://schemas.openxmlformats.org/officeDocument/2006/relationships/hyperlink" Target="mailto:mik_e_mouse@msn.com" TargetMode="External"/><Relationship Id="rId317" Type="http://schemas.openxmlformats.org/officeDocument/2006/relationships/hyperlink" Target="mailto:christymaliakkal25@gmail.com" TargetMode="External"/><Relationship Id="rId438" Type="http://schemas.openxmlformats.org/officeDocument/2006/relationships/hyperlink" Target="mailto:shakeeloneil@yahoo.com" TargetMode="External"/><Relationship Id="rId312" Type="http://schemas.openxmlformats.org/officeDocument/2006/relationships/hyperlink" Target="mailto:andreaishrealty@gmail.com" TargetMode="External"/><Relationship Id="rId433" Type="http://schemas.openxmlformats.org/officeDocument/2006/relationships/hyperlink" Target="mailto:Tanya.brui@gmail.com" TargetMode="External"/><Relationship Id="rId311" Type="http://schemas.openxmlformats.org/officeDocument/2006/relationships/hyperlink" Target="mailto:Olatunjibyass@gmail.com" TargetMode="External"/><Relationship Id="rId432" Type="http://schemas.openxmlformats.org/officeDocument/2006/relationships/hyperlink" Target="mailto:dublinlafleur@gmail.com" TargetMode="External"/><Relationship Id="rId310" Type="http://schemas.openxmlformats.org/officeDocument/2006/relationships/hyperlink" Target="mailto:kamalmoe@hotmail.com" TargetMode="External"/><Relationship Id="rId431" Type="http://schemas.openxmlformats.org/officeDocument/2006/relationships/hyperlink" Target="mailto:Hussam@11211.ca" TargetMode="External"/><Relationship Id="rId430" Type="http://schemas.openxmlformats.org/officeDocument/2006/relationships/hyperlink" Target="mailto:Apple_dkf@yahoo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baskaran1982.bb/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bummyobanawu@gmail.com" TargetMode="External"/><Relationship Id="rId2" Type="http://schemas.openxmlformats.org/officeDocument/2006/relationships/hyperlink" Target="mailto:mojgansagharichi@gmail.com" TargetMode="External"/><Relationship Id="rId3" Type="http://schemas.openxmlformats.org/officeDocument/2006/relationships/hyperlink" Target="mailto:ashanth3003@gmail.com" TargetMode="External"/><Relationship Id="rId4" Type="http://schemas.openxmlformats.org/officeDocument/2006/relationships/hyperlink" Target="mailto:shivam97amin@outlook.com" TargetMode="External"/><Relationship Id="rId5" Type="http://schemas.openxmlformats.org/officeDocument/2006/relationships/hyperlink" Target="mailto:robert_larcher@hotmail.ca" TargetMode="External"/><Relationship Id="rId6" Type="http://schemas.openxmlformats.org/officeDocument/2006/relationships/drawing" Target="../drawings/drawing3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2.88"/>
    <col customWidth="1" min="4" max="4" width="14.63"/>
  </cols>
  <sheetData>
    <row r="1">
      <c r="A1" s="1"/>
      <c r="B1" s="1"/>
      <c r="C1" s="2"/>
      <c r="D1" s="1"/>
    </row>
    <row r="2">
      <c r="A2" s="3" t="s">
        <v>0</v>
      </c>
      <c r="B2" s="3" t="s">
        <v>1</v>
      </c>
      <c r="C2" s="4" t="s">
        <v>2</v>
      </c>
      <c r="D2" s="3">
        <v>4.168878678E9</v>
      </c>
    </row>
    <row r="3">
      <c r="A3" s="5"/>
      <c r="B3" s="5"/>
      <c r="C3" s="5"/>
      <c r="D3" s="5"/>
    </row>
    <row r="4">
      <c r="A4" s="3" t="s">
        <v>3</v>
      </c>
      <c r="B4" s="3" t="s">
        <v>4</v>
      </c>
      <c r="C4" s="4" t="s">
        <v>5</v>
      </c>
      <c r="D4" s="3">
        <v>4.162707571E9</v>
      </c>
    </row>
    <row r="5">
      <c r="A5" s="5"/>
      <c r="B5" s="5"/>
      <c r="C5" s="5"/>
      <c r="D5" s="5"/>
    </row>
    <row r="6">
      <c r="A6" s="3" t="s">
        <v>6</v>
      </c>
      <c r="B6" s="3" t="s">
        <v>7</v>
      </c>
      <c r="C6" s="4" t="s">
        <v>8</v>
      </c>
      <c r="D6" s="3">
        <v>6.479729774E9</v>
      </c>
    </row>
    <row r="7">
      <c r="A7" s="5"/>
      <c r="B7" s="5"/>
      <c r="C7" s="5"/>
      <c r="D7" s="5"/>
    </row>
    <row r="8">
      <c r="A8" s="3" t="s">
        <v>9</v>
      </c>
      <c r="B8" s="3" t="s">
        <v>10</v>
      </c>
      <c r="C8" s="4" t="s">
        <v>11</v>
      </c>
      <c r="D8" s="3">
        <v>6.47773706E9</v>
      </c>
    </row>
    <row r="9">
      <c r="A9" s="5"/>
      <c r="B9" s="5"/>
      <c r="C9" s="5"/>
      <c r="D9" s="5"/>
    </row>
    <row r="10">
      <c r="A10" s="3" t="s">
        <v>12</v>
      </c>
      <c r="B10" s="3" t="s">
        <v>13</v>
      </c>
      <c r="C10" s="4" t="s">
        <v>14</v>
      </c>
      <c r="D10" s="3">
        <v>6.474563563E9</v>
      </c>
    </row>
    <row r="11">
      <c r="A11" s="5"/>
      <c r="B11" s="5"/>
      <c r="C11" s="5"/>
      <c r="D11" s="5"/>
    </row>
    <row r="12">
      <c r="A12" s="3" t="s">
        <v>15</v>
      </c>
      <c r="B12" s="3" t="s">
        <v>16</v>
      </c>
      <c r="C12" s="4" t="s">
        <v>17</v>
      </c>
      <c r="D12" s="3">
        <v>4.1686865E9</v>
      </c>
    </row>
    <row r="13">
      <c r="A13" s="5"/>
      <c r="B13" s="5"/>
      <c r="C13" s="5"/>
      <c r="D13" s="5"/>
    </row>
    <row r="14">
      <c r="A14" s="3" t="s">
        <v>18</v>
      </c>
      <c r="B14" s="3" t="s">
        <v>19</v>
      </c>
      <c r="C14" s="4" t="s">
        <v>20</v>
      </c>
      <c r="D14" s="3">
        <v>6.473935675E9</v>
      </c>
    </row>
    <row r="15">
      <c r="A15" s="5"/>
      <c r="B15" s="5"/>
      <c r="C15" s="5"/>
      <c r="D15" s="5"/>
    </row>
    <row r="16">
      <c r="A16" s="3" t="s">
        <v>21</v>
      </c>
      <c r="B16" s="3" t="s">
        <v>22</v>
      </c>
      <c r="C16" s="4" t="s">
        <v>23</v>
      </c>
      <c r="D16" s="3" t="s">
        <v>24</v>
      </c>
    </row>
    <row r="17">
      <c r="A17" s="5"/>
      <c r="B17" s="5"/>
      <c r="C17" s="5"/>
      <c r="D17" s="5"/>
    </row>
    <row r="18">
      <c r="A18" s="3" t="s">
        <v>25</v>
      </c>
      <c r="B18" s="3" t="s">
        <v>26</v>
      </c>
      <c r="C18" s="4" t="s">
        <v>27</v>
      </c>
      <c r="D18" s="3">
        <v>2.898927159E9</v>
      </c>
    </row>
    <row r="19">
      <c r="A19" s="5"/>
      <c r="B19" s="5"/>
      <c r="C19" s="5"/>
      <c r="D19" s="5"/>
    </row>
    <row r="20">
      <c r="A20" s="3" t="s">
        <v>28</v>
      </c>
      <c r="B20" s="3" t="s">
        <v>29</v>
      </c>
      <c r="C20" s="4" t="s">
        <v>30</v>
      </c>
      <c r="D20" s="3">
        <v>1.6478896322E10</v>
      </c>
    </row>
    <row r="21">
      <c r="A21" s="5"/>
      <c r="B21" s="5"/>
      <c r="C21" s="5"/>
      <c r="D21" s="5"/>
    </row>
    <row r="22">
      <c r="A22" s="3" t="s">
        <v>31</v>
      </c>
      <c r="B22" s="3" t="s">
        <v>32</v>
      </c>
      <c r="C22" s="4" t="s">
        <v>33</v>
      </c>
      <c r="D22" s="3">
        <v>9.05631578E9</v>
      </c>
    </row>
    <row r="23">
      <c r="A23" s="5"/>
      <c r="B23" s="5"/>
      <c r="C23" s="5"/>
      <c r="D23" s="5"/>
    </row>
    <row r="24">
      <c r="A24" s="3" t="s">
        <v>18</v>
      </c>
      <c r="B24" s="3" t="s">
        <v>19</v>
      </c>
      <c r="C24" s="4" t="s">
        <v>34</v>
      </c>
      <c r="D24" s="3">
        <v>6.473935675E9</v>
      </c>
    </row>
    <row r="25">
      <c r="A25" s="5"/>
      <c r="B25" s="5"/>
      <c r="C25" s="5"/>
      <c r="D25" s="5"/>
    </row>
    <row r="26">
      <c r="A26" s="3" t="s">
        <v>35</v>
      </c>
      <c r="B26" s="3" t="s">
        <v>36</v>
      </c>
      <c r="C26" s="4" t="s">
        <v>37</v>
      </c>
      <c r="D26" s="3">
        <v>6.478852002E9</v>
      </c>
    </row>
    <row r="27">
      <c r="A27" s="5"/>
      <c r="B27" s="5"/>
      <c r="C27" s="5"/>
      <c r="D27" s="5"/>
    </row>
    <row r="28">
      <c r="A28" s="3" t="s">
        <v>38</v>
      </c>
      <c r="B28" s="3" t="s">
        <v>39</v>
      </c>
      <c r="C28" s="4" t="s">
        <v>40</v>
      </c>
      <c r="D28" s="3">
        <v>6.478718199E9</v>
      </c>
    </row>
    <row r="29">
      <c r="A29" s="5"/>
      <c r="B29" s="5"/>
      <c r="C29" s="5"/>
      <c r="D29" s="5"/>
    </row>
    <row r="30">
      <c r="A30" s="3" t="s">
        <v>41</v>
      </c>
      <c r="B30" s="3" t="s">
        <v>42</v>
      </c>
      <c r="C30" s="4" t="s">
        <v>43</v>
      </c>
      <c r="D30" s="3">
        <v>6.473810179E9</v>
      </c>
    </row>
    <row r="31">
      <c r="A31" s="5"/>
      <c r="B31" s="5"/>
      <c r="C31" s="5"/>
      <c r="D31" s="5"/>
    </row>
    <row r="32">
      <c r="A32" s="3" t="s">
        <v>44</v>
      </c>
      <c r="B32" s="3" t="s">
        <v>45</v>
      </c>
      <c r="C32" s="4" t="s">
        <v>46</v>
      </c>
      <c r="D32" s="3">
        <v>6.476797356E9</v>
      </c>
    </row>
    <row r="33">
      <c r="A33" s="5"/>
      <c r="B33" s="5"/>
      <c r="C33" s="5"/>
      <c r="D33" s="5"/>
    </row>
    <row r="34">
      <c r="A34" s="3" t="s">
        <v>47</v>
      </c>
      <c r="B34" s="3" t="s">
        <v>48</v>
      </c>
      <c r="C34" s="4" t="s">
        <v>49</v>
      </c>
      <c r="D34" s="3">
        <v>6.478715606E9</v>
      </c>
    </row>
    <row r="35">
      <c r="A35" s="5"/>
      <c r="B35" s="5"/>
      <c r="C35" s="5"/>
      <c r="D35" s="5"/>
    </row>
    <row r="36">
      <c r="A36" s="3" t="s">
        <v>50</v>
      </c>
      <c r="B36" s="3" t="s">
        <v>51</v>
      </c>
      <c r="C36" s="4" t="s">
        <v>52</v>
      </c>
      <c r="D36" s="3">
        <v>4.168987395E9</v>
      </c>
    </row>
    <row r="37">
      <c r="A37" s="5"/>
      <c r="B37" s="5"/>
      <c r="C37" s="5"/>
      <c r="D37" s="5"/>
    </row>
    <row r="38">
      <c r="A38" s="3" t="s">
        <v>53</v>
      </c>
      <c r="B38" s="3" t="s">
        <v>54</v>
      </c>
      <c r="C38" s="4" t="s">
        <v>55</v>
      </c>
      <c r="D38" s="3">
        <v>1.6474603007E10</v>
      </c>
    </row>
    <row r="39">
      <c r="A39" s="5"/>
      <c r="B39" s="5"/>
      <c r="C39" s="5"/>
      <c r="D39" s="5"/>
    </row>
    <row r="40">
      <c r="A40" s="3" t="s">
        <v>56</v>
      </c>
      <c r="B40" s="3" t="s">
        <v>57</v>
      </c>
      <c r="C40" s="4" t="s">
        <v>58</v>
      </c>
      <c r="D40" s="3">
        <v>2.898932181E9</v>
      </c>
    </row>
    <row r="41">
      <c r="A41" s="5"/>
      <c r="B41" s="5"/>
      <c r="C41" s="5"/>
      <c r="D41" s="5"/>
    </row>
    <row r="42">
      <c r="A42" s="3" t="s">
        <v>59</v>
      </c>
      <c r="B42" s="3" t="s">
        <v>60</v>
      </c>
      <c r="C42" s="4" t="s">
        <v>61</v>
      </c>
      <c r="D42" s="3">
        <v>5.878871267E9</v>
      </c>
    </row>
    <row r="43">
      <c r="A43" s="5"/>
      <c r="B43" s="5"/>
      <c r="C43" s="5"/>
      <c r="D43" s="5"/>
    </row>
    <row r="44">
      <c r="A44" s="3" t="s">
        <v>62</v>
      </c>
      <c r="B44" s="3" t="s">
        <v>63</v>
      </c>
      <c r="C44" s="4" t="s">
        <v>64</v>
      </c>
      <c r="D44" s="3">
        <v>6.472049151E9</v>
      </c>
    </row>
    <row r="45">
      <c r="A45" s="5"/>
      <c r="B45" s="5"/>
      <c r="C45" s="5"/>
      <c r="D45" s="5"/>
    </row>
    <row r="46">
      <c r="A46" s="3" t="s">
        <v>65</v>
      </c>
      <c r="B46" s="3" t="s">
        <v>66</v>
      </c>
      <c r="C46" s="4" t="s">
        <v>67</v>
      </c>
      <c r="D46" s="3">
        <v>9.057818585E9</v>
      </c>
    </row>
    <row r="47">
      <c r="A47" s="5"/>
      <c r="B47" s="5"/>
      <c r="C47" s="5"/>
      <c r="D47" s="5"/>
    </row>
    <row r="48">
      <c r="A48" s="3" t="s">
        <v>68</v>
      </c>
      <c r="B48" s="3" t="s">
        <v>68</v>
      </c>
      <c r="C48" s="4" t="s">
        <v>69</v>
      </c>
      <c r="D48" s="3">
        <v>1.23456789E8</v>
      </c>
    </row>
    <row r="49">
      <c r="A49" s="5"/>
      <c r="B49" s="5"/>
      <c r="C49" s="5"/>
      <c r="D49" s="5"/>
    </row>
    <row r="50">
      <c r="A50" s="3" t="s">
        <v>70</v>
      </c>
      <c r="B50" s="3" t="s">
        <v>71</v>
      </c>
      <c r="C50" s="4" t="s">
        <v>72</v>
      </c>
      <c r="D50" s="3">
        <v>4.1678736341E10</v>
      </c>
    </row>
    <row r="51">
      <c r="A51" s="5"/>
      <c r="B51" s="5"/>
      <c r="C51" s="5"/>
      <c r="D51" s="5"/>
    </row>
    <row r="52">
      <c r="A52" s="3" t="s">
        <v>68</v>
      </c>
      <c r="B52" s="3" t="s">
        <v>68</v>
      </c>
      <c r="C52" s="4" t="s">
        <v>73</v>
      </c>
      <c r="D52" s="3">
        <v>1.9219032112E10</v>
      </c>
    </row>
    <row r="53">
      <c r="A53" s="5"/>
      <c r="B53" s="5"/>
      <c r="C53" s="5"/>
      <c r="D53" s="5"/>
    </row>
    <row r="54">
      <c r="A54" s="3" t="s">
        <v>74</v>
      </c>
      <c r="B54" s="3" t="s">
        <v>75</v>
      </c>
      <c r="C54" s="4" t="s">
        <v>76</v>
      </c>
      <c r="D54" s="3">
        <v>4.1675271234E10</v>
      </c>
    </row>
    <row r="55">
      <c r="A55" s="5"/>
      <c r="B55" s="5"/>
      <c r="C55" s="5"/>
      <c r="D55" s="5"/>
    </row>
    <row r="56">
      <c r="A56" s="3" t="s">
        <v>77</v>
      </c>
      <c r="B56" s="3" t="s">
        <v>78</v>
      </c>
      <c r="C56" s="3" t="s">
        <v>79</v>
      </c>
      <c r="D56" s="3">
        <v>9.82542307E8</v>
      </c>
    </row>
    <row r="57">
      <c r="A57" s="5"/>
      <c r="B57" s="5"/>
      <c r="C57" s="5"/>
      <c r="D57" s="5"/>
    </row>
    <row r="58">
      <c r="A58" s="3" t="s">
        <v>80</v>
      </c>
      <c r="B58" s="3" t="s">
        <v>81</v>
      </c>
      <c r="C58" s="4" t="s">
        <v>82</v>
      </c>
      <c r="D58" s="6">
        <v>2.43898E11</v>
      </c>
    </row>
    <row r="59">
      <c r="A59" s="5"/>
      <c r="B59" s="5"/>
      <c r="C59" s="5"/>
      <c r="D59" s="5"/>
    </row>
    <row r="60">
      <c r="A60" s="3" t="s">
        <v>83</v>
      </c>
      <c r="B60" s="3" t="s">
        <v>84</v>
      </c>
      <c r="C60" s="4" t="s">
        <v>85</v>
      </c>
      <c r="D60" s="3">
        <v>1.60693025E8</v>
      </c>
    </row>
    <row r="61">
      <c r="A61" s="5"/>
      <c r="B61" s="5"/>
      <c r="C61" s="5"/>
      <c r="D61" s="5"/>
    </row>
    <row r="62">
      <c r="A62" s="3" t="s">
        <v>86</v>
      </c>
      <c r="B62" s="3" t="s">
        <v>87</v>
      </c>
      <c r="C62" s="3" t="s">
        <v>88</v>
      </c>
      <c r="D62" s="3" t="s">
        <v>89</v>
      </c>
    </row>
    <row r="63">
      <c r="A63" s="5"/>
      <c r="B63" s="5"/>
      <c r="C63" s="5"/>
      <c r="D63" s="5"/>
    </row>
    <row r="64">
      <c r="A64" s="3" t="s">
        <v>90</v>
      </c>
      <c r="B64" s="3" t="s">
        <v>91</v>
      </c>
      <c r="C64" s="4" t="s">
        <v>92</v>
      </c>
      <c r="D64" s="6">
        <v>2.21776E11</v>
      </c>
    </row>
    <row r="65">
      <c r="A65" s="5"/>
      <c r="B65" s="5"/>
      <c r="C65" s="5"/>
      <c r="D65" s="5"/>
    </row>
    <row r="66">
      <c r="A66" s="3" t="s">
        <v>93</v>
      </c>
      <c r="B66" s="3" t="s">
        <v>94</v>
      </c>
      <c r="C66" s="4" t="s">
        <v>95</v>
      </c>
      <c r="D66" s="6">
        <v>2.43838E11</v>
      </c>
    </row>
    <row r="67">
      <c r="A67" s="5"/>
      <c r="B67" s="5"/>
      <c r="C67" s="5"/>
      <c r="D67" s="5"/>
    </row>
    <row r="68">
      <c r="A68" s="3" t="s">
        <v>96</v>
      </c>
      <c r="B68" s="3" t="s">
        <v>97</v>
      </c>
      <c r="C68" s="3" t="s">
        <v>97</v>
      </c>
      <c r="D68" s="3">
        <v>7.47030932E8</v>
      </c>
    </row>
    <row r="69">
      <c r="A69" s="5"/>
      <c r="B69" s="5"/>
      <c r="C69" s="5"/>
      <c r="D69" s="5"/>
    </row>
    <row r="70">
      <c r="A70" s="3" t="s">
        <v>98</v>
      </c>
      <c r="B70" s="3" t="s">
        <v>99</v>
      </c>
      <c r="C70" s="4" t="s">
        <v>100</v>
      </c>
      <c r="D70" s="6">
        <v>2.21783E11</v>
      </c>
    </row>
    <row r="71">
      <c r="A71" s="5"/>
      <c r="B71" s="5"/>
      <c r="C71" s="5"/>
      <c r="D71" s="5"/>
    </row>
    <row r="72">
      <c r="A72" s="3" t="s">
        <v>101</v>
      </c>
      <c r="B72" s="3" t="s">
        <v>102</v>
      </c>
      <c r="C72" s="4" t="s">
        <v>103</v>
      </c>
      <c r="D72" s="6">
        <v>2.43898E11</v>
      </c>
    </row>
    <row r="73">
      <c r="A73" s="5"/>
      <c r="B73" s="5"/>
      <c r="C73" s="5"/>
      <c r="D73" s="5"/>
    </row>
    <row r="74">
      <c r="A74" s="3" t="s">
        <v>104</v>
      </c>
      <c r="B74" s="3" t="s">
        <v>105</v>
      </c>
      <c r="C74" s="4" t="s">
        <v>106</v>
      </c>
      <c r="D74" s="3">
        <v>3.20468019E8</v>
      </c>
    </row>
    <row r="75">
      <c r="A75" s="5"/>
      <c r="B75" s="5"/>
      <c r="C75" s="5"/>
      <c r="D75" s="5"/>
    </row>
    <row r="76">
      <c r="A76" s="3" t="s">
        <v>107</v>
      </c>
      <c r="B76" s="3" t="s">
        <v>108</v>
      </c>
      <c r="C76" s="4" t="s">
        <v>109</v>
      </c>
      <c r="D76" s="3">
        <v>6.138901019E9</v>
      </c>
    </row>
    <row r="77">
      <c r="A77" s="5"/>
      <c r="B77" s="5"/>
      <c r="C77" s="5"/>
      <c r="D77" s="5"/>
    </row>
    <row r="78">
      <c r="A78" s="3" t="s">
        <v>110</v>
      </c>
      <c r="B78" s="3" t="s">
        <v>111</v>
      </c>
      <c r="C78" s="4" t="s">
        <v>112</v>
      </c>
      <c r="D78" s="6">
        <v>2.46258E11</v>
      </c>
    </row>
    <row r="79">
      <c r="A79" s="5"/>
      <c r="B79" s="5"/>
      <c r="C79" s="5"/>
      <c r="D79" s="5"/>
    </row>
    <row r="80">
      <c r="A80" s="3" t="s">
        <v>113</v>
      </c>
      <c r="B80" s="3" t="s">
        <v>114</v>
      </c>
      <c r="C80" s="4" t="s">
        <v>115</v>
      </c>
      <c r="D80" s="3">
        <v>7.70551556E8</v>
      </c>
    </row>
    <row r="81">
      <c r="A81" s="5"/>
      <c r="B81" s="5"/>
      <c r="C81" s="5"/>
      <c r="D81" s="5"/>
    </row>
    <row r="82">
      <c r="A82" s="3" t="s">
        <v>116</v>
      </c>
      <c r="B82" s="3" t="s">
        <v>117</v>
      </c>
      <c r="C82" s="4" t="s">
        <v>118</v>
      </c>
      <c r="D82" s="3">
        <v>4.164204463E9</v>
      </c>
    </row>
    <row r="83">
      <c r="A83" s="5"/>
      <c r="B83" s="5"/>
      <c r="C83" s="5"/>
      <c r="D83" s="5"/>
    </row>
    <row r="84">
      <c r="A84" s="3" t="s">
        <v>119</v>
      </c>
      <c r="B84" s="3" t="s">
        <v>120</v>
      </c>
      <c r="C84" s="4" t="s">
        <v>121</v>
      </c>
      <c r="D84" s="6">
        <v>2.21787E11</v>
      </c>
    </row>
    <row r="85">
      <c r="A85" s="5"/>
      <c r="B85" s="5"/>
      <c r="C85" s="5"/>
      <c r="D85" s="5"/>
    </row>
    <row r="86">
      <c r="A86" s="3" t="s">
        <v>122</v>
      </c>
      <c r="B86" s="3" t="s">
        <v>123</v>
      </c>
      <c r="C86" s="4" t="s">
        <v>124</v>
      </c>
      <c r="D86" s="3">
        <v>1.4167719956E10</v>
      </c>
    </row>
    <row r="87">
      <c r="A87" s="5"/>
      <c r="B87" s="5"/>
      <c r="C87" s="5"/>
      <c r="D87" s="5"/>
    </row>
    <row r="88">
      <c r="A88" s="3" t="s">
        <v>125</v>
      </c>
      <c r="B88" s="3" t="s">
        <v>126</v>
      </c>
      <c r="C88" s="4" t="s">
        <v>127</v>
      </c>
      <c r="D88" s="3" t="s">
        <v>128</v>
      </c>
    </row>
    <row r="89">
      <c r="A89" s="5"/>
      <c r="B89" s="5"/>
      <c r="C89" s="5"/>
      <c r="D89" s="5"/>
    </row>
    <row r="90">
      <c r="A90" s="3" t="s">
        <v>129</v>
      </c>
      <c r="B90" s="3" t="s">
        <v>130</v>
      </c>
      <c r="C90" s="4" t="s">
        <v>131</v>
      </c>
      <c r="D90" s="3">
        <v>6.476099891E9</v>
      </c>
    </row>
    <row r="91">
      <c r="A91" s="5"/>
      <c r="B91" s="5"/>
      <c r="C91" s="5"/>
      <c r="D91" s="5"/>
    </row>
    <row r="92">
      <c r="A92" s="3" t="s">
        <v>132</v>
      </c>
      <c r="B92" s="3" t="s">
        <v>133</v>
      </c>
      <c r="C92" s="4" t="s">
        <v>134</v>
      </c>
      <c r="D92" s="3">
        <v>7.75582704E8</v>
      </c>
    </row>
    <row r="93">
      <c r="A93" s="5"/>
      <c r="B93" s="5"/>
      <c r="C93" s="5"/>
      <c r="D93" s="5"/>
    </row>
    <row r="94">
      <c r="A94" s="3" t="s">
        <v>135</v>
      </c>
      <c r="B94" s="3" t="s">
        <v>136</v>
      </c>
      <c r="C94" s="4" t="s">
        <v>137</v>
      </c>
      <c r="D94" s="6">
        <v>2.21773E11</v>
      </c>
    </row>
    <row r="95">
      <c r="A95" s="5"/>
      <c r="B95" s="5"/>
      <c r="C95" s="5"/>
      <c r="D95" s="5"/>
    </row>
    <row r="96">
      <c r="A96" s="3" t="s">
        <v>138</v>
      </c>
      <c r="B96" s="3" t="s">
        <v>139</v>
      </c>
      <c r="C96" s="4" t="s">
        <v>140</v>
      </c>
      <c r="D96" s="3" t="s">
        <v>141</v>
      </c>
    </row>
    <row r="97">
      <c r="A97" s="5"/>
      <c r="B97" s="5"/>
      <c r="C97" s="5"/>
      <c r="D97" s="5"/>
    </row>
    <row r="98">
      <c r="A98" s="3" t="s">
        <v>142</v>
      </c>
      <c r="B98" s="3" t="s">
        <v>143</v>
      </c>
      <c r="C98" s="4" t="s">
        <v>144</v>
      </c>
      <c r="D98" s="3" t="s">
        <v>145</v>
      </c>
    </row>
    <row r="99">
      <c r="A99" s="5"/>
      <c r="B99" s="5"/>
      <c r="C99" s="5"/>
      <c r="D99" s="5"/>
    </row>
    <row r="100">
      <c r="A100" s="3" t="s">
        <v>146</v>
      </c>
      <c r="B100" s="3" t="s">
        <v>147</v>
      </c>
      <c r="C100" s="4" t="s">
        <v>148</v>
      </c>
      <c r="D100" s="6">
        <v>2.21773E11</v>
      </c>
    </row>
    <row r="101">
      <c r="A101" s="5"/>
      <c r="B101" s="5"/>
      <c r="C101" s="5"/>
      <c r="D101" s="5"/>
    </row>
    <row r="102">
      <c r="A102" s="3" t="s">
        <v>149</v>
      </c>
      <c r="B102" s="3" t="s">
        <v>150</v>
      </c>
      <c r="C102" s="4" t="s">
        <v>151</v>
      </c>
      <c r="D102" s="6">
        <v>2.21773E11</v>
      </c>
    </row>
    <row r="103">
      <c r="A103" s="5"/>
      <c r="B103" s="5"/>
      <c r="C103" s="5"/>
      <c r="D103" s="5"/>
    </row>
    <row r="104">
      <c r="A104" s="3" t="s">
        <v>152</v>
      </c>
      <c r="B104" s="3" t="s">
        <v>153</v>
      </c>
      <c r="C104" s="4" t="s">
        <v>154</v>
      </c>
      <c r="D104" s="3">
        <v>9.056507997E9</v>
      </c>
    </row>
    <row r="105">
      <c r="A105" s="5"/>
      <c r="B105" s="5"/>
      <c r="C105" s="5"/>
      <c r="D105" s="5"/>
    </row>
    <row r="106">
      <c r="A106" s="3" t="s">
        <v>155</v>
      </c>
      <c r="B106" s="3" t="s">
        <v>156</v>
      </c>
      <c r="C106" s="4" t="s">
        <v>157</v>
      </c>
      <c r="D106" s="6">
        <v>2.21773E11</v>
      </c>
    </row>
    <row r="107">
      <c r="A107" s="5"/>
      <c r="B107" s="5"/>
      <c r="C107" s="5"/>
      <c r="D107" s="5"/>
    </row>
    <row r="108">
      <c r="A108" s="3" t="s">
        <v>158</v>
      </c>
      <c r="B108" s="3" t="s">
        <v>159</v>
      </c>
      <c r="C108" s="4" t="s">
        <v>160</v>
      </c>
      <c r="D108" s="3">
        <v>3.4845018E8</v>
      </c>
    </row>
    <row r="109">
      <c r="A109" s="5"/>
      <c r="B109" s="5"/>
      <c r="C109" s="5"/>
      <c r="D109" s="5"/>
    </row>
    <row r="110">
      <c r="A110" s="3" t="s">
        <v>161</v>
      </c>
      <c r="B110" s="3" t="s">
        <v>162</v>
      </c>
      <c r="C110" s="4" t="s">
        <v>163</v>
      </c>
      <c r="D110" s="6">
        <v>2.43857E11</v>
      </c>
    </row>
    <row r="111">
      <c r="A111" s="5"/>
      <c r="B111" s="5"/>
      <c r="C111" s="5"/>
      <c r="D111" s="5"/>
    </row>
    <row r="112">
      <c r="A112" s="3" t="s">
        <v>164</v>
      </c>
      <c r="B112" s="3" t="s">
        <v>165</v>
      </c>
      <c r="C112" s="4" t="s">
        <v>166</v>
      </c>
      <c r="D112" s="3">
        <v>6.472801146E9</v>
      </c>
    </row>
    <row r="113">
      <c r="A113" s="5"/>
      <c r="B113" s="5"/>
      <c r="C113" s="5"/>
      <c r="D113" s="5"/>
    </row>
    <row r="114">
      <c r="A114" s="3" t="s">
        <v>167</v>
      </c>
      <c r="B114" s="3" t="s">
        <v>168</v>
      </c>
      <c r="C114" s="4" t="s">
        <v>169</v>
      </c>
      <c r="D114" s="6">
        <v>9.64075E13</v>
      </c>
    </row>
    <row r="115">
      <c r="A115" s="5"/>
      <c r="B115" s="5"/>
      <c r="C115" s="5"/>
      <c r="D115" s="5"/>
    </row>
    <row r="116">
      <c r="A116" s="3" t="s">
        <v>170</v>
      </c>
      <c r="B116" s="3" t="s">
        <v>171</v>
      </c>
      <c r="C116" s="4" t="s">
        <v>172</v>
      </c>
      <c r="D116" s="6">
        <v>2.21757E11</v>
      </c>
    </row>
    <row r="117">
      <c r="A117" s="5"/>
      <c r="B117" s="5"/>
      <c r="C117" s="5"/>
      <c r="D117" s="5"/>
    </row>
    <row r="118">
      <c r="A118" s="3" t="s">
        <v>173</v>
      </c>
      <c r="B118" s="3" t="s">
        <v>174</v>
      </c>
      <c r="C118" s="3" t="s">
        <v>175</v>
      </c>
      <c r="D118" s="6">
        <v>2.41063E11</v>
      </c>
    </row>
    <row r="119">
      <c r="A119" s="5"/>
      <c r="B119" s="5"/>
      <c r="C119" s="5"/>
      <c r="D119" s="5"/>
    </row>
    <row r="120">
      <c r="A120" s="3" t="s">
        <v>176</v>
      </c>
      <c r="B120" s="3" t="s">
        <v>177</v>
      </c>
      <c r="C120" s="3" t="s">
        <v>177</v>
      </c>
      <c r="D120" s="6">
        <v>2.43896E11</v>
      </c>
    </row>
    <row r="121">
      <c r="A121" s="5"/>
      <c r="B121" s="5"/>
      <c r="C121" s="5"/>
      <c r="D121" s="5"/>
    </row>
    <row r="122">
      <c r="A122" s="3" t="s">
        <v>178</v>
      </c>
      <c r="B122" s="3" t="s">
        <v>179</v>
      </c>
      <c r="C122" s="4" t="s">
        <v>180</v>
      </c>
      <c r="D122" s="3">
        <v>7.07391462E8</v>
      </c>
    </row>
    <row r="123">
      <c r="A123" s="5"/>
      <c r="B123" s="5"/>
      <c r="C123" s="5"/>
      <c r="D123" s="5"/>
    </row>
    <row r="124">
      <c r="A124" s="3" t="s">
        <v>181</v>
      </c>
      <c r="B124" s="3" t="s">
        <v>182</v>
      </c>
      <c r="C124" s="4" t="s">
        <v>183</v>
      </c>
      <c r="D124" s="7" t="str">
        <f>+221 77 170 40 28</f>
        <v>#ERROR!</v>
      </c>
    </row>
    <row r="125">
      <c r="A125" s="5"/>
      <c r="B125" s="5"/>
      <c r="C125" s="5"/>
      <c r="D125" s="5"/>
    </row>
    <row r="126">
      <c r="A126" s="4" t="s">
        <v>184</v>
      </c>
      <c r="B126" s="3" t="s">
        <v>185</v>
      </c>
      <c r="C126" s="4" t="s">
        <v>186</v>
      </c>
      <c r="D126" s="3" t="s">
        <v>187</v>
      </c>
    </row>
    <row r="127">
      <c r="A127" s="5"/>
      <c r="B127" s="5"/>
      <c r="C127" s="5"/>
      <c r="D127" s="5"/>
    </row>
    <row r="128">
      <c r="A128" s="3" t="s">
        <v>188</v>
      </c>
      <c r="B128" s="3" t="s">
        <v>189</v>
      </c>
      <c r="C128" s="4" t="s">
        <v>190</v>
      </c>
      <c r="D128" s="6">
        <v>2.43823E11</v>
      </c>
    </row>
    <row r="129">
      <c r="A129" s="5"/>
      <c r="B129" s="5"/>
      <c r="C129" s="5"/>
      <c r="D129" s="5"/>
    </row>
    <row r="130">
      <c r="A130" s="3" t="s">
        <v>191</v>
      </c>
      <c r="B130" s="3" t="s">
        <v>192</v>
      </c>
      <c r="C130" s="4" t="s">
        <v>193</v>
      </c>
      <c r="D130" s="6">
        <v>2.43975E11</v>
      </c>
    </row>
    <row r="131">
      <c r="A131" s="5"/>
      <c r="B131" s="5"/>
      <c r="C131" s="5"/>
      <c r="D131" s="5"/>
    </row>
    <row r="132">
      <c r="A132" s="3" t="s">
        <v>194</v>
      </c>
      <c r="B132" s="3" t="s">
        <v>195</v>
      </c>
      <c r="C132" s="4" t="s">
        <v>196</v>
      </c>
      <c r="D132" s="3" t="s">
        <v>197</v>
      </c>
    </row>
    <row r="133">
      <c r="A133" s="5"/>
      <c r="B133" s="5"/>
      <c r="C133" s="5"/>
      <c r="D133" s="5"/>
    </row>
    <row r="134">
      <c r="A134" s="3" t="s">
        <v>198</v>
      </c>
      <c r="B134" s="3" t="s">
        <v>181</v>
      </c>
      <c r="C134" s="4" t="s">
        <v>199</v>
      </c>
      <c r="D134" s="3">
        <v>6.34852033E8</v>
      </c>
    </row>
    <row r="135">
      <c r="A135" s="5"/>
      <c r="B135" s="5"/>
      <c r="C135" s="5"/>
      <c r="D135" s="5"/>
    </row>
    <row r="136">
      <c r="A136" s="3" t="s">
        <v>200</v>
      </c>
      <c r="B136" s="3" t="s">
        <v>201</v>
      </c>
      <c r="C136" s="4" t="s">
        <v>202</v>
      </c>
      <c r="D136" s="3">
        <v>6.27242603E8</v>
      </c>
    </row>
    <row r="137">
      <c r="A137" s="5"/>
      <c r="B137" s="5"/>
      <c r="C137" s="5"/>
      <c r="D137" s="5"/>
    </row>
    <row r="138">
      <c r="A138" s="3" t="s">
        <v>203</v>
      </c>
      <c r="B138" s="3" t="s">
        <v>204</v>
      </c>
      <c r="C138" s="4" t="s">
        <v>205</v>
      </c>
      <c r="D138" s="6">
        <v>2.24621E11</v>
      </c>
    </row>
    <row r="139">
      <c r="A139" s="5"/>
      <c r="B139" s="5"/>
      <c r="C139" s="5"/>
      <c r="D139" s="5"/>
    </row>
    <row r="140">
      <c r="A140" s="3" t="s">
        <v>206</v>
      </c>
      <c r="B140" s="3" t="s">
        <v>207</v>
      </c>
      <c r="C140" s="4" t="s">
        <v>208</v>
      </c>
      <c r="D140" s="6">
        <v>2.43895E11</v>
      </c>
    </row>
    <row r="141">
      <c r="A141" s="5"/>
      <c r="B141" s="5"/>
      <c r="C141" s="5"/>
      <c r="D141" s="5"/>
    </row>
    <row r="142">
      <c r="A142" s="3" t="s">
        <v>209</v>
      </c>
      <c r="B142" s="3" t="s">
        <v>210</v>
      </c>
      <c r="C142" s="4" t="s">
        <v>211</v>
      </c>
      <c r="D142" s="7" t="str">
        <f>+221 __ _775279304__ __ _</f>
        <v>#ERROR!</v>
      </c>
    </row>
    <row r="143">
      <c r="A143" s="5"/>
      <c r="B143" s="5"/>
      <c r="C143" s="5"/>
      <c r="D143" s="5"/>
    </row>
    <row r="144">
      <c r="A144" s="3" t="s">
        <v>212</v>
      </c>
      <c r="B144" s="3" t="s">
        <v>213</v>
      </c>
      <c r="C144" s="4" t="s">
        <v>214</v>
      </c>
      <c r="D144" s="6">
        <v>9.64773E12</v>
      </c>
    </row>
    <row r="145">
      <c r="A145" s="5"/>
      <c r="B145" s="5"/>
      <c r="C145" s="5"/>
      <c r="D145" s="5"/>
    </row>
    <row r="146">
      <c r="A146" s="3" t="s">
        <v>215</v>
      </c>
      <c r="B146" s="3" t="s">
        <v>216</v>
      </c>
      <c r="C146" s="4" t="s">
        <v>217</v>
      </c>
      <c r="D146" s="3">
        <v>2.207638614E9</v>
      </c>
    </row>
    <row r="147">
      <c r="A147" s="5"/>
      <c r="B147" s="5"/>
      <c r="C147" s="5"/>
      <c r="D147" s="5"/>
    </row>
    <row r="148">
      <c r="A148" s="3" t="s">
        <v>218</v>
      </c>
      <c r="B148" s="3" t="s">
        <v>219</v>
      </c>
      <c r="C148" s="3" t="s">
        <v>220</v>
      </c>
      <c r="D148" s="3">
        <v>6.11365983E8</v>
      </c>
    </row>
    <row r="149">
      <c r="A149" s="5"/>
      <c r="B149" s="5"/>
      <c r="C149" s="5"/>
      <c r="D149" s="5"/>
    </row>
    <row r="150">
      <c r="A150" s="3" t="s">
        <v>221</v>
      </c>
      <c r="B150" s="3" t="s">
        <v>222</v>
      </c>
      <c r="C150" s="4" t="s">
        <v>223</v>
      </c>
      <c r="D150" s="3">
        <v>7.6381467E7</v>
      </c>
    </row>
    <row r="151">
      <c r="A151" s="5"/>
      <c r="B151" s="5"/>
      <c r="C151" s="5"/>
      <c r="D151" s="5"/>
    </row>
    <row r="152">
      <c r="A152" s="3" t="s">
        <v>224</v>
      </c>
      <c r="B152" s="3" t="s">
        <v>225</v>
      </c>
      <c r="C152" s="4" t="s">
        <v>226</v>
      </c>
      <c r="D152" s="3">
        <v>9.056448853E9</v>
      </c>
    </row>
    <row r="153">
      <c r="A153" s="5"/>
      <c r="B153" s="5"/>
      <c r="C153" s="5"/>
      <c r="D153" s="5"/>
    </row>
    <row r="154">
      <c r="A154" s="3" t="s">
        <v>227</v>
      </c>
      <c r="B154" s="3" t="s">
        <v>228</v>
      </c>
      <c r="C154" s="4" t="s">
        <v>229</v>
      </c>
      <c r="D154" s="3" t="s">
        <v>230</v>
      </c>
    </row>
    <row r="155">
      <c r="A155" s="5"/>
      <c r="B155" s="5"/>
      <c r="C155" s="5"/>
      <c r="D155" s="5"/>
    </row>
    <row r="156">
      <c r="A156" s="3" t="s">
        <v>231</v>
      </c>
      <c r="B156" s="3" t="s">
        <v>232</v>
      </c>
      <c r="C156" s="4" t="s">
        <v>233</v>
      </c>
      <c r="D156" s="3" t="s">
        <v>234</v>
      </c>
    </row>
    <row r="157">
      <c r="A157" s="5"/>
      <c r="B157" s="5"/>
      <c r="C157" s="5"/>
      <c r="D157" s="5"/>
    </row>
    <row r="158">
      <c r="A158" s="3" t="s">
        <v>235</v>
      </c>
      <c r="B158" s="3" t="s">
        <v>236</v>
      </c>
      <c r="C158" s="4" t="s">
        <v>237</v>
      </c>
      <c r="D158" s="7" t="str">
        <f>+243974743185,+2438469800</f>
        <v>#ERROR!</v>
      </c>
    </row>
    <row r="159">
      <c r="A159" s="5"/>
      <c r="B159" s="5"/>
      <c r="C159" s="5"/>
      <c r="D159" s="5"/>
    </row>
    <row r="160">
      <c r="A160" s="3" t="s">
        <v>238</v>
      </c>
      <c r="B160" s="3" t="s">
        <v>239</v>
      </c>
      <c r="C160" s="4" t="s">
        <v>240</v>
      </c>
      <c r="D160" s="3">
        <v>7.79230593E8</v>
      </c>
    </row>
    <row r="161">
      <c r="A161" s="5"/>
      <c r="B161" s="5"/>
      <c r="C161" s="5"/>
      <c r="D161" s="5"/>
    </row>
    <row r="162">
      <c r="A162" s="3" t="s">
        <v>241</v>
      </c>
      <c r="B162" s="3" t="s">
        <v>242</v>
      </c>
      <c r="C162" s="4" t="s">
        <v>243</v>
      </c>
      <c r="D162" s="6">
        <v>2.24623E11</v>
      </c>
    </row>
    <row r="163">
      <c r="A163" s="5"/>
      <c r="B163" s="5"/>
      <c r="C163" s="5"/>
      <c r="D163" s="5"/>
    </row>
    <row r="164">
      <c r="A164" s="3" t="s">
        <v>244</v>
      </c>
      <c r="B164" s="3" t="s">
        <v>245</v>
      </c>
      <c r="C164" s="4" t="s">
        <v>246</v>
      </c>
      <c r="D164" s="3">
        <v>2.3568026261E10</v>
      </c>
    </row>
    <row r="165">
      <c r="A165" s="5"/>
      <c r="B165" s="5"/>
      <c r="C165" s="5"/>
      <c r="D165" s="5"/>
    </row>
    <row r="166">
      <c r="A166" s="3" t="s">
        <v>247</v>
      </c>
      <c r="B166" s="3" t="s">
        <v>248</v>
      </c>
      <c r="C166" s="4" t="s">
        <v>249</v>
      </c>
      <c r="D166" s="3">
        <v>7.10365966E8</v>
      </c>
    </row>
    <row r="167">
      <c r="A167" s="5"/>
      <c r="B167" s="5"/>
      <c r="C167" s="5"/>
      <c r="D167" s="5"/>
    </row>
    <row r="168">
      <c r="A168" s="3" t="s">
        <v>250</v>
      </c>
      <c r="B168" s="3" t="s">
        <v>251</v>
      </c>
      <c r="C168" s="4" t="s">
        <v>252</v>
      </c>
      <c r="D168" s="3">
        <v>7.0919512E8</v>
      </c>
    </row>
    <row r="169">
      <c r="A169" s="5"/>
      <c r="B169" s="5"/>
      <c r="C169" s="5"/>
      <c r="D169" s="5"/>
    </row>
    <row r="170">
      <c r="A170" s="3" t="s">
        <v>99</v>
      </c>
      <c r="B170" s="3" t="s">
        <v>253</v>
      </c>
      <c r="C170" s="4" t="s">
        <v>254</v>
      </c>
      <c r="D170" s="3">
        <v>6.28988199E8</v>
      </c>
    </row>
    <row r="171">
      <c r="A171" s="5"/>
      <c r="B171" s="5"/>
      <c r="C171" s="5"/>
      <c r="D171" s="5"/>
    </row>
    <row r="172">
      <c r="A172" s="3" t="s">
        <v>253</v>
      </c>
      <c r="B172" s="3" t="s">
        <v>99</v>
      </c>
      <c r="C172" s="3" t="s">
        <v>255</v>
      </c>
      <c r="D172" s="3">
        <v>6.28988199E8</v>
      </c>
    </row>
    <row r="173">
      <c r="A173" s="5"/>
      <c r="B173" s="5"/>
      <c r="C173" s="5"/>
      <c r="D173" s="5"/>
    </row>
    <row r="174">
      <c r="A174" s="3" t="s">
        <v>256</v>
      </c>
      <c r="B174" s="3" t="s">
        <v>257</v>
      </c>
      <c r="C174" s="4" t="s">
        <v>258</v>
      </c>
      <c r="D174" s="3" t="s">
        <v>259</v>
      </c>
    </row>
    <row r="175">
      <c r="A175" s="5"/>
      <c r="B175" s="5"/>
      <c r="C175" s="5"/>
      <c r="D175" s="5"/>
    </row>
    <row r="176">
      <c r="A176" s="3" t="s">
        <v>260</v>
      </c>
      <c r="B176" s="3" t="s">
        <v>261</v>
      </c>
      <c r="C176" s="4" t="s">
        <v>262</v>
      </c>
      <c r="D176" s="3">
        <v>6.828348E7</v>
      </c>
    </row>
    <row r="177">
      <c r="A177" s="5"/>
      <c r="B177" s="5"/>
      <c r="C177" s="5"/>
      <c r="D177" s="5"/>
    </row>
    <row r="178">
      <c r="A178" s="3" t="s">
        <v>263</v>
      </c>
      <c r="B178" s="3" t="s">
        <v>264</v>
      </c>
      <c r="C178" s="4" t="s">
        <v>265</v>
      </c>
      <c r="D178" s="3">
        <v>4.16450433E9</v>
      </c>
    </row>
    <row r="179">
      <c r="A179" s="5"/>
      <c r="B179" s="5"/>
      <c r="C179" s="5"/>
      <c r="D179" s="5"/>
    </row>
    <row r="180">
      <c r="A180" s="3" t="s">
        <v>266</v>
      </c>
      <c r="B180" s="3" t="s">
        <v>267</v>
      </c>
      <c r="C180" s="4" t="s">
        <v>268</v>
      </c>
      <c r="D180" s="6">
        <v>2.6132E11</v>
      </c>
    </row>
    <row r="181">
      <c r="A181" s="5"/>
      <c r="B181" s="5"/>
      <c r="C181" s="5"/>
      <c r="D181" s="5"/>
    </row>
    <row r="182">
      <c r="A182" s="3" t="s">
        <v>269</v>
      </c>
      <c r="B182" s="3" t="s">
        <v>270</v>
      </c>
      <c r="C182" s="4" t="s">
        <v>271</v>
      </c>
      <c r="D182" s="6">
        <v>2.4382E11</v>
      </c>
    </row>
    <row r="183">
      <c r="A183" s="5"/>
      <c r="B183" s="5"/>
      <c r="C183" s="5"/>
      <c r="D183" s="5"/>
    </row>
    <row r="184">
      <c r="A184" s="3" t="s">
        <v>272</v>
      </c>
      <c r="B184" s="3" t="s">
        <v>273</v>
      </c>
      <c r="C184" s="4" t="s">
        <v>274</v>
      </c>
      <c r="D184" s="3">
        <v>7.85586725E8</v>
      </c>
    </row>
    <row r="185">
      <c r="A185" s="5"/>
      <c r="B185" s="5"/>
      <c r="C185" s="5"/>
      <c r="D185" s="5"/>
    </row>
    <row r="186">
      <c r="A186" s="3" t="s">
        <v>275</v>
      </c>
      <c r="B186" s="3" t="s">
        <v>276</v>
      </c>
      <c r="C186" s="3" t="s">
        <v>277</v>
      </c>
      <c r="D186" s="6">
        <v>2.439E11</v>
      </c>
    </row>
    <row r="187">
      <c r="A187" s="5"/>
      <c r="B187" s="5"/>
      <c r="C187" s="5"/>
      <c r="D187" s="5"/>
    </row>
    <row r="188">
      <c r="A188" s="3" t="s">
        <v>278</v>
      </c>
      <c r="B188" s="3" t="s">
        <v>279</v>
      </c>
      <c r="C188" s="4" t="s">
        <v>280</v>
      </c>
      <c r="D188" s="6">
        <v>2.50789E11</v>
      </c>
    </row>
    <row r="189">
      <c r="A189" s="5"/>
      <c r="B189" s="5"/>
      <c r="C189" s="5"/>
      <c r="D189" s="5"/>
    </row>
    <row r="190">
      <c r="A190" s="3" t="s">
        <v>281</v>
      </c>
      <c r="B190" s="3" t="s">
        <v>282</v>
      </c>
      <c r="C190" s="4" t="s">
        <v>283</v>
      </c>
      <c r="D190" s="6">
        <v>2.43823E11</v>
      </c>
    </row>
    <row r="191">
      <c r="A191" s="5"/>
      <c r="B191" s="5"/>
      <c r="C191" s="5"/>
      <c r="D191" s="5"/>
    </row>
    <row r="192">
      <c r="A192" s="3" t="s">
        <v>228</v>
      </c>
      <c r="B192" s="3" t="s">
        <v>228</v>
      </c>
      <c r="C192" s="4" t="s">
        <v>284</v>
      </c>
      <c r="D192" s="6">
        <v>2.24629E11</v>
      </c>
    </row>
    <row r="193">
      <c r="A193" s="5"/>
      <c r="B193" s="5"/>
      <c r="C193" s="5"/>
      <c r="D193" s="5"/>
    </row>
    <row r="194">
      <c r="A194" s="3" t="s">
        <v>285</v>
      </c>
      <c r="B194" s="3" t="s">
        <v>286</v>
      </c>
      <c r="C194" s="4" t="s">
        <v>287</v>
      </c>
      <c r="D194" s="3" t="s">
        <v>288</v>
      </c>
    </row>
    <row r="195">
      <c r="A195" s="5"/>
      <c r="B195" s="5"/>
      <c r="C195" s="5"/>
      <c r="D195" s="5"/>
    </row>
    <row r="196">
      <c r="A196" s="3" t="s">
        <v>289</v>
      </c>
      <c r="B196" s="3" t="s">
        <v>290</v>
      </c>
      <c r="C196" s="4" t="s">
        <v>291</v>
      </c>
      <c r="D196" s="7" t="str">
        <f>+26132 07 528 04</f>
        <v>#ERROR!</v>
      </c>
    </row>
    <row r="197">
      <c r="A197" s="5"/>
      <c r="B197" s="5"/>
      <c r="C197" s="5"/>
      <c r="D197" s="5"/>
    </row>
    <row r="198">
      <c r="A198" s="3" t="s">
        <v>292</v>
      </c>
      <c r="B198" s="3" t="s">
        <v>293</v>
      </c>
      <c r="C198" s="4" t="s">
        <v>294</v>
      </c>
      <c r="D198" s="6">
        <v>2.43829E11</v>
      </c>
    </row>
    <row r="199">
      <c r="A199" s="5"/>
      <c r="B199" s="5"/>
      <c r="C199" s="5"/>
      <c r="D199" s="5"/>
    </row>
    <row r="200">
      <c r="A200" s="3" t="s">
        <v>295</v>
      </c>
      <c r="B200" s="3" t="s">
        <v>296</v>
      </c>
      <c r="C200" s="4" t="s">
        <v>297</v>
      </c>
      <c r="D200" s="3">
        <v>2.3675542015E10</v>
      </c>
    </row>
    <row r="201">
      <c r="A201" s="5"/>
      <c r="B201" s="5"/>
      <c r="C201" s="5"/>
      <c r="D201" s="5"/>
    </row>
    <row r="202">
      <c r="A202" s="3" t="s">
        <v>298</v>
      </c>
      <c r="B202" s="3" t="s">
        <v>299</v>
      </c>
      <c r="C202" s="4" t="s">
        <v>300</v>
      </c>
      <c r="D202" s="6">
        <v>2.6135E11</v>
      </c>
    </row>
    <row r="203">
      <c r="A203" s="5"/>
      <c r="B203" s="5"/>
      <c r="C203" s="5"/>
      <c r="D203" s="5"/>
    </row>
    <row r="204">
      <c r="A204" s="3" t="s">
        <v>301</v>
      </c>
      <c r="B204" s="3" t="s">
        <v>239</v>
      </c>
      <c r="C204" s="4" t="s">
        <v>302</v>
      </c>
      <c r="D204" s="6">
        <v>2.24621E11</v>
      </c>
    </row>
    <row r="205">
      <c r="A205" s="5"/>
      <c r="B205" s="5"/>
      <c r="C205" s="5"/>
      <c r="D205" s="5"/>
    </row>
    <row r="206">
      <c r="A206" s="3" t="s">
        <v>303</v>
      </c>
      <c r="B206" s="3" t="s">
        <v>304</v>
      </c>
      <c r="C206" s="4" t="s">
        <v>305</v>
      </c>
      <c r="D206" s="3">
        <v>2.2893435816E10</v>
      </c>
    </row>
    <row r="207">
      <c r="A207" s="5"/>
      <c r="B207" s="5"/>
      <c r="C207" s="5"/>
      <c r="D207" s="5"/>
    </row>
    <row r="208">
      <c r="A208" s="3" t="s">
        <v>306</v>
      </c>
      <c r="B208" s="3" t="s">
        <v>307</v>
      </c>
      <c r="C208" s="4" t="s">
        <v>308</v>
      </c>
      <c r="D208" s="7" t="str">
        <f>+221 765660227</f>
        <v>#ERROR!</v>
      </c>
    </row>
    <row r="209">
      <c r="A209" s="5"/>
      <c r="B209" s="5"/>
      <c r="C209" s="5"/>
      <c r="D209" s="5"/>
    </row>
    <row r="210">
      <c r="A210" s="3" t="s">
        <v>309</v>
      </c>
      <c r="B210" s="3" t="s">
        <v>310</v>
      </c>
      <c r="C210" s="4" t="s">
        <v>311</v>
      </c>
      <c r="D210" s="3">
        <v>9.99096722E8</v>
      </c>
    </row>
    <row r="211">
      <c r="A211" s="5"/>
      <c r="B211" s="5"/>
      <c r="C211" s="5"/>
      <c r="D211" s="5"/>
    </row>
    <row r="212">
      <c r="A212" s="3" t="s">
        <v>312</v>
      </c>
      <c r="B212" s="3" t="s">
        <v>313</v>
      </c>
      <c r="C212" s="4" t="s">
        <v>314</v>
      </c>
      <c r="D212" s="3" t="s">
        <v>315</v>
      </c>
    </row>
    <row r="213">
      <c r="A213" s="5"/>
      <c r="B213" s="5"/>
      <c r="C213" s="5"/>
      <c r="D213" s="5"/>
    </row>
    <row r="214">
      <c r="A214" s="3" t="s">
        <v>316</v>
      </c>
      <c r="B214" s="3" t="s">
        <v>317</v>
      </c>
      <c r="C214" s="4" t="s">
        <v>318</v>
      </c>
      <c r="D214" s="6">
        <v>2.42055E11</v>
      </c>
    </row>
    <row r="215">
      <c r="A215" s="5"/>
      <c r="B215" s="5"/>
      <c r="C215" s="5"/>
      <c r="D215" s="5"/>
    </row>
    <row r="216">
      <c r="A216" s="3" t="s">
        <v>319</v>
      </c>
      <c r="B216" s="3" t="s">
        <v>320</v>
      </c>
      <c r="C216" s="4" t="s">
        <v>321</v>
      </c>
      <c r="D216" s="3">
        <v>3.88042148E8</v>
      </c>
    </row>
    <row r="217">
      <c r="A217" s="5"/>
      <c r="B217" s="5"/>
      <c r="C217" s="5"/>
      <c r="D217" s="5"/>
    </row>
    <row r="218">
      <c r="A218" s="3" t="s">
        <v>322</v>
      </c>
      <c r="B218" s="3" t="s">
        <v>323</v>
      </c>
      <c r="C218" s="6">
        <v>2.24622E11</v>
      </c>
      <c r="D218" s="3" t="s">
        <v>324</v>
      </c>
    </row>
    <row r="219">
      <c r="A219" s="5"/>
      <c r="B219" s="5"/>
      <c r="C219" s="5"/>
      <c r="D219" s="5"/>
    </row>
    <row r="220">
      <c r="A220" s="3" t="s">
        <v>325</v>
      </c>
      <c r="B220" s="3" t="s">
        <v>326</v>
      </c>
      <c r="C220" s="4" t="s">
        <v>327</v>
      </c>
      <c r="D220" s="6">
        <v>2.25079E12</v>
      </c>
    </row>
    <row r="221">
      <c r="A221" s="5"/>
      <c r="B221" s="5"/>
      <c r="C221" s="5"/>
      <c r="D221" s="5"/>
    </row>
    <row r="222">
      <c r="A222" s="3" t="s">
        <v>328</v>
      </c>
      <c r="B222" s="3" t="s">
        <v>204</v>
      </c>
      <c r="C222" s="3" t="s">
        <v>329</v>
      </c>
      <c r="D222" s="3">
        <v>2.2372227191E10</v>
      </c>
    </row>
    <row r="223">
      <c r="A223" s="5"/>
      <c r="B223" s="5"/>
      <c r="C223" s="5"/>
      <c r="D223" s="5"/>
    </row>
    <row r="224">
      <c r="A224" s="3" t="s">
        <v>330</v>
      </c>
      <c r="B224" s="3" t="s">
        <v>331</v>
      </c>
      <c r="C224" s="4" t="s">
        <v>332</v>
      </c>
      <c r="D224" s="6">
        <v>2.24621E11</v>
      </c>
    </row>
    <row r="225">
      <c r="A225" s="5"/>
      <c r="B225" s="5"/>
      <c r="C225" s="5"/>
      <c r="D225" s="5"/>
    </row>
    <row r="226">
      <c r="A226" s="3" t="s">
        <v>333</v>
      </c>
      <c r="B226" s="3" t="s">
        <v>334</v>
      </c>
      <c r="C226" s="4" t="s">
        <v>335</v>
      </c>
      <c r="D226" s="3">
        <v>9.019215E7</v>
      </c>
    </row>
    <row r="227">
      <c r="A227" s="5"/>
      <c r="B227" s="5"/>
      <c r="C227" s="5"/>
      <c r="D227" s="5"/>
    </row>
    <row r="228">
      <c r="A228" s="3" t="s">
        <v>336</v>
      </c>
      <c r="B228" s="3" t="s">
        <v>337</v>
      </c>
      <c r="C228" s="4" t="s">
        <v>338</v>
      </c>
      <c r="D228" s="3">
        <v>2.5776785194E10</v>
      </c>
    </row>
    <row r="229">
      <c r="A229" s="5"/>
      <c r="B229" s="5"/>
      <c r="C229" s="5"/>
      <c r="D229" s="5"/>
    </row>
    <row r="230">
      <c r="A230" s="3" t="s">
        <v>339</v>
      </c>
      <c r="B230" s="3" t="s">
        <v>340</v>
      </c>
      <c r="C230" s="4" t="s">
        <v>341</v>
      </c>
      <c r="D230" s="6">
        <v>2.2507E12</v>
      </c>
    </row>
    <row r="231">
      <c r="A231" s="5"/>
      <c r="B231" s="5"/>
      <c r="C231" s="5"/>
      <c r="D231" s="5"/>
    </row>
    <row r="232">
      <c r="A232" s="3" t="s">
        <v>342</v>
      </c>
      <c r="B232" s="3" t="s">
        <v>343</v>
      </c>
      <c r="C232" s="4" t="s">
        <v>344</v>
      </c>
      <c r="D232" s="7" t="str">
        <f>+242 065137379</f>
        <v>#ERROR!</v>
      </c>
    </row>
    <row r="233">
      <c r="A233" s="5"/>
      <c r="B233" s="5"/>
      <c r="C233" s="5"/>
      <c r="D233" s="5"/>
    </row>
    <row r="234">
      <c r="A234" s="3" t="s">
        <v>345</v>
      </c>
      <c r="B234" s="3" t="s">
        <v>346</v>
      </c>
      <c r="C234" s="4" t="s">
        <v>347</v>
      </c>
      <c r="D234" s="3">
        <v>9.90279215E8</v>
      </c>
    </row>
    <row r="235">
      <c r="A235" s="5"/>
      <c r="B235" s="5"/>
      <c r="C235" s="5"/>
      <c r="D235" s="5"/>
    </row>
    <row r="236">
      <c r="A236" s="3" t="s">
        <v>348</v>
      </c>
      <c r="B236" s="3" t="s">
        <v>349</v>
      </c>
      <c r="C236" s="4" t="s">
        <v>350</v>
      </c>
      <c r="D236" s="3">
        <v>9.5950659E7</v>
      </c>
    </row>
    <row r="237">
      <c r="A237" s="5"/>
      <c r="B237" s="5"/>
      <c r="C237" s="5"/>
      <c r="D237" s="5"/>
    </row>
    <row r="238">
      <c r="A238" s="3" t="s">
        <v>351</v>
      </c>
      <c r="B238" s="3" t="s">
        <v>352</v>
      </c>
      <c r="C238" s="4" t="s">
        <v>353</v>
      </c>
      <c r="D238" s="7" t="str">
        <f>+236 75 75 30 24</f>
        <v>#ERROR!</v>
      </c>
    </row>
    <row r="239">
      <c r="A239" s="5"/>
      <c r="B239" s="5"/>
      <c r="C239" s="5"/>
      <c r="D239" s="5"/>
    </row>
    <row r="240">
      <c r="A240" s="3" t="s">
        <v>354</v>
      </c>
      <c r="B240" s="3" t="s">
        <v>355</v>
      </c>
      <c r="C240" s="4" t="s">
        <v>356</v>
      </c>
      <c r="D240" s="6">
        <v>2.5073E11</v>
      </c>
    </row>
    <row r="241">
      <c r="A241" s="5"/>
      <c r="B241" s="5"/>
      <c r="C241" s="5"/>
      <c r="D241" s="5"/>
    </row>
    <row r="242">
      <c r="A242" s="3" t="s">
        <v>91</v>
      </c>
      <c r="B242" s="3" t="s">
        <v>357</v>
      </c>
      <c r="C242" s="4" t="s">
        <v>358</v>
      </c>
      <c r="D242" s="3">
        <v>2644943.0</v>
      </c>
    </row>
    <row r="243">
      <c r="A243" s="5"/>
      <c r="B243" s="5"/>
      <c r="C243" s="5"/>
      <c r="D243" s="5"/>
    </row>
    <row r="244">
      <c r="A244" s="3" t="s">
        <v>359</v>
      </c>
      <c r="B244" s="3" t="s">
        <v>360</v>
      </c>
      <c r="C244" s="4" t="s">
        <v>361</v>
      </c>
      <c r="D244" s="3">
        <v>7.1262671E7</v>
      </c>
    </row>
    <row r="245">
      <c r="A245" s="5"/>
      <c r="B245" s="5"/>
      <c r="C245" s="5"/>
      <c r="D245" s="5"/>
    </row>
    <row r="246">
      <c r="A246" s="3" t="s">
        <v>362</v>
      </c>
      <c r="B246" s="3" t="s">
        <v>363</v>
      </c>
      <c r="C246" s="4" t="s">
        <v>364</v>
      </c>
      <c r="D246" s="3">
        <v>4.163886794E9</v>
      </c>
    </row>
    <row r="247">
      <c r="A247" s="5"/>
      <c r="B247" s="5"/>
      <c r="C247" s="5"/>
      <c r="D247" s="5"/>
    </row>
    <row r="248">
      <c r="A248" s="3" t="s">
        <v>365</v>
      </c>
      <c r="B248" s="3" t="s">
        <v>366</v>
      </c>
      <c r="C248" s="4" t="s">
        <v>367</v>
      </c>
      <c r="D248" s="3">
        <v>6.474684018E9</v>
      </c>
    </row>
    <row r="249">
      <c r="A249" s="5"/>
      <c r="B249" s="5"/>
      <c r="C249" s="5"/>
      <c r="D249" s="5"/>
    </row>
    <row r="250">
      <c r="A250" s="3" t="s">
        <v>368</v>
      </c>
      <c r="B250" s="3" t="s">
        <v>369</v>
      </c>
      <c r="C250" s="4" t="s">
        <v>370</v>
      </c>
      <c r="D250" s="3" t="s">
        <v>371</v>
      </c>
    </row>
    <row r="251">
      <c r="A251" s="5"/>
      <c r="B251" s="5"/>
      <c r="C251" s="5"/>
      <c r="D251" s="5"/>
    </row>
    <row r="252">
      <c r="A252" s="3" t="s">
        <v>372</v>
      </c>
      <c r="B252" s="3" t="s">
        <v>369</v>
      </c>
      <c r="C252" s="4" t="s">
        <v>373</v>
      </c>
      <c r="D252" s="3">
        <v>6.479143296E9</v>
      </c>
    </row>
    <row r="253">
      <c r="A253" s="5"/>
      <c r="B253" s="5"/>
      <c r="C253" s="5"/>
      <c r="D253" s="5"/>
    </row>
    <row r="254">
      <c r="A254" s="3" t="s">
        <v>374</v>
      </c>
      <c r="B254" s="3" t="s">
        <v>228</v>
      </c>
      <c r="C254" s="4" t="s">
        <v>375</v>
      </c>
      <c r="D254" s="3">
        <v>7.75484609E8</v>
      </c>
    </row>
    <row r="255">
      <c r="A255" s="5"/>
      <c r="B255" s="5"/>
      <c r="C255" s="5"/>
      <c r="D255" s="5"/>
    </row>
    <row r="256">
      <c r="A256" s="3" t="s">
        <v>376</v>
      </c>
      <c r="B256" s="3" t="s">
        <v>377</v>
      </c>
      <c r="C256" s="4" t="s">
        <v>378</v>
      </c>
      <c r="D256" s="3">
        <v>2.5788965622E10</v>
      </c>
    </row>
    <row r="257">
      <c r="A257" s="5"/>
      <c r="B257" s="5"/>
      <c r="C257" s="5"/>
      <c r="D257" s="5"/>
    </row>
    <row r="258">
      <c r="A258" s="3" t="s">
        <v>379</v>
      </c>
      <c r="B258" s="3" t="s">
        <v>380</v>
      </c>
      <c r="C258" s="4" t="s">
        <v>381</v>
      </c>
      <c r="D258" s="6">
        <v>2.42066E11</v>
      </c>
    </row>
    <row r="259">
      <c r="A259" s="5"/>
      <c r="B259" s="5"/>
      <c r="C259" s="5"/>
      <c r="D259" s="5"/>
    </row>
    <row r="260">
      <c r="A260" s="3" t="s">
        <v>379</v>
      </c>
      <c r="B260" s="3" t="s">
        <v>380</v>
      </c>
      <c r="C260" s="4" t="s">
        <v>382</v>
      </c>
      <c r="D260" s="6">
        <v>2.42066E11</v>
      </c>
    </row>
    <row r="261">
      <c r="A261" s="5"/>
      <c r="B261" s="5"/>
      <c r="C261" s="5"/>
      <c r="D261" s="5"/>
    </row>
    <row r="262">
      <c r="A262" s="3" t="s">
        <v>383</v>
      </c>
      <c r="B262" s="3" t="s">
        <v>384</v>
      </c>
      <c r="C262" s="3" t="s">
        <v>385</v>
      </c>
      <c r="D262" s="3" t="s">
        <v>386</v>
      </c>
    </row>
    <row r="263">
      <c r="A263" s="5"/>
      <c r="B263" s="5"/>
      <c r="C263" s="5"/>
      <c r="D263" s="5"/>
    </row>
    <row r="264">
      <c r="A264" s="3" t="s">
        <v>387</v>
      </c>
      <c r="B264" s="3" t="s">
        <v>388</v>
      </c>
      <c r="C264" s="4" t="s">
        <v>389</v>
      </c>
      <c r="D264" s="6">
        <v>2.43839E11</v>
      </c>
    </row>
    <row r="265">
      <c r="A265" s="5"/>
      <c r="B265" s="5"/>
      <c r="C265" s="5"/>
      <c r="D265" s="5"/>
    </row>
    <row r="266">
      <c r="A266" s="3" t="s">
        <v>390</v>
      </c>
      <c r="B266" s="3" t="s">
        <v>391</v>
      </c>
      <c r="C266" s="3" t="s">
        <v>392</v>
      </c>
      <c r="D266" s="3">
        <v>2.3672278905E10</v>
      </c>
    </row>
    <row r="267">
      <c r="A267" s="5"/>
      <c r="B267" s="5"/>
      <c r="C267" s="5"/>
      <c r="D267" s="5"/>
    </row>
    <row r="268">
      <c r="A268" s="3" t="s">
        <v>393</v>
      </c>
      <c r="B268" s="3" t="s">
        <v>394</v>
      </c>
      <c r="C268" s="4" t="s">
        <v>395</v>
      </c>
      <c r="D268" s="6">
        <v>2.21775E11</v>
      </c>
    </row>
    <row r="269">
      <c r="A269" s="5"/>
      <c r="B269" s="5"/>
      <c r="C269" s="5"/>
      <c r="D269" s="5"/>
    </row>
    <row r="270">
      <c r="A270" s="3" t="s">
        <v>182</v>
      </c>
      <c r="B270" s="3" t="s">
        <v>396</v>
      </c>
      <c r="C270" s="4" t="s">
        <v>397</v>
      </c>
      <c r="D270" s="6">
        <v>2.21776E11</v>
      </c>
    </row>
    <row r="271">
      <c r="A271" s="5"/>
      <c r="B271" s="5"/>
      <c r="C271" s="5"/>
      <c r="D271" s="5"/>
    </row>
    <row r="272">
      <c r="A272" s="3" t="s">
        <v>398</v>
      </c>
      <c r="B272" s="3" t="s">
        <v>399</v>
      </c>
      <c r="C272" s="4" t="s">
        <v>400</v>
      </c>
      <c r="D272" s="6">
        <v>2.43976E11</v>
      </c>
    </row>
    <row r="273">
      <c r="A273" s="5"/>
      <c r="B273" s="5"/>
      <c r="C273" s="5"/>
      <c r="D273" s="5"/>
    </row>
    <row r="274">
      <c r="A274" s="3" t="s">
        <v>401</v>
      </c>
      <c r="B274" s="3" t="s">
        <v>402</v>
      </c>
      <c r="C274" s="4" t="s">
        <v>403</v>
      </c>
      <c r="D274" s="3" t="s">
        <v>404</v>
      </c>
    </row>
    <row r="275">
      <c r="A275" s="5"/>
      <c r="B275" s="5"/>
      <c r="C275" s="5"/>
      <c r="D275" s="5"/>
    </row>
    <row r="276">
      <c r="A276" s="3" t="s">
        <v>405</v>
      </c>
      <c r="B276" s="3" t="s">
        <v>406</v>
      </c>
      <c r="C276" s="4" t="s">
        <v>407</v>
      </c>
      <c r="D276" s="6">
        <v>2.21776E11</v>
      </c>
    </row>
    <row r="277">
      <c r="A277" s="5"/>
      <c r="B277" s="5"/>
      <c r="C277" s="5"/>
      <c r="D277" s="5"/>
    </row>
    <row r="278">
      <c r="A278" s="3" t="s">
        <v>408</v>
      </c>
      <c r="B278" s="3" t="s">
        <v>409</v>
      </c>
      <c r="C278" s="4" t="s">
        <v>410</v>
      </c>
      <c r="D278" s="3">
        <v>6.10064458E8</v>
      </c>
    </row>
    <row r="279">
      <c r="A279" s="5"/>
      <c r="B279" s="5"/>
      <c r="C279" s="5"/>
      <c r="D279" s="5"/>
    </row>
    <row r="280">
      <c r="A280" s="3" t="s">
        <v>411</v>
      </c>
      <c r="B280" s="3" t="s">
        <v>412</v>
      </c>
      <c r="C280" s="4" t="s">
        <v>413</v>
      </c>
      <c r="D280" s="3" t="s">
        <v>414</v>
      </c>
    </row>
    <row r="281">
      <c r="A281" s="5"/>
      <c r="B281" s="5"/>
      <c r="C281" s="5"/>
      <c r="D281" s="5"/>
    </row>
    <row r="282">
      <c r="A282" s="3" t="s">
        <v>415</v>
      </c>
      <c r="B282" s="3" t="s">
        <v>416</v>
      </c>
      <c r="C282" s="4" t="s">
        <v>417</v>
      </c>
      <c r="D282" s="3">
        <v>2.3595939351E10</v>
      </c>
    </row>
    <row r="283">
      <c r="A283" s="5"/>
      <c r="B283" s="5"/>
      <c r="C283" s="5"/>
      <c r="D283" s="5"/>
    </row>
    <row r="284">
      <c r="A284" s="3" t="s">
        <v>418</v>
      </c>
      <c r="B284" s="3" t="s">
        <v>419</v>
      </c>
      <c r="C284" s="4" t="s">
        <v>420</v>
      </c>
      <c r="D284" s="6">
        <v>2.21771E11</v>
      </c>
    </row>
    <row r="285">
      <c r="A285" s="5"/>
      <c r="B285" s="5"/>
      <c r="C285" s="5"/>
      <c r="D285" s="5"/>
    </row>
    <row r="286">
      <c r="A286" s="3" t="s">
        <v>421</v>
      </c>
      <c r="B286" s="3" t="s">
        <v>422</v>
      </c>
      <c r="C286" s="4" t="s">
        <v>423</v>
      </c>
      <c r="D286" s="6">
        <v>2.43892E11</v>
      </c>
    </row>
    <row r="287">
      <c r="A287" s="5"/>
      <c r="B287" s="5"/>
      <c r="C287" s="5"/>
      <c r="D287" s="5"/>
    </row>
    <row r="288">
      <c r="A288" s="3" t="s">
        <v>424</v>
      </c>
      <c r="B288" s="3" t="s">
        <v>425</v>
      </c>
      <c r="C288" s="4" t="s">
        <v>426</v>
      </c>
      <c r="D288" s="6">
        <v>2.21775E11</v>
      </c>
    </row>
    <row r="289">
      <c r="A289" s="5"/>
      <c r="B289" s="5"/>
      <c r="C289" s="5"/>
      <c r="D289" s="5"/>
    </row>
    <row r="290">
      <c r="A290" s="3" t="s">
        <v>427</v>
      </c>
      <c r="B290" s="3" t="s">
        <v>428</v>
      </c>
      <c r="C290" s="4" t="s">
        <v>429</v>
      </c>
      <c r="D290" s="3">
        <v>6.477073224E9</v>
      </c>
    </row>
    <row r="291">
      <c r="A291" s="5"/>
      <c r="B291" s="5"/>
      <c r="C291" s="5"/>
      <c r="D291" s="5"/>
    </row>
    <row r="292">
      <c r="A292" s="3" t="s">
        <v>430</v>
      </c>
      <c r="B292" s="3" t="s">
        <v>228</v>
      </c>
      <c r="C292" s="4" t="s">
        <v>431</v>
      </c>
      <c r="D292" s="3">
        <v>7.77621222E8</v>
      </c>
    </row>
    <row r="293">
      <c r="A293" s="5"/>
      <c r="B293" s="5"/>
      <c r="C293" s="5"/>
      <c r="D293" s="5"/>
    </row>
    <row r="294">
      <c r="A294" s="3" t="s">
        <v>432</v>
      </c>
      <c r="B294" s="3" t="s">
        <v>433</v>
      </c>
      <c r="C294" s="4" t="s">
        <v>434</v>
      </c>
      <c r="D294" s="3" t="s">
        <v>435</v>
      </c>
    </row>
    <row r="295">
      <c r="A295" s="5"/>
      <c r="B295" s="5"/>
      <c r="C295" s="5"/>
      <c r="D295" s="5"/>
    </row>
    <row r="296">
      <c r="A296" s="3" t="s">
        <v>436</v>
      </c>
      <c r="B296" s="3" t="s">
        <v>437</v>
      </c>
      <c r="C296" s="4" t="s">
        <v>438</v>
      </c>
      <c r="D296" s="3">
        <v>6.23666677E8</v>
      </c>
    </row>
    <row r="297">
      <c r="A297" s="5"/>
      <c r="B297" s="5"/>
      <c r="C297" s="5"/>
      <c r="D297" s="5"/>
    </row>
    <row r="298">
      <c r="A298" s="3" t="s">
        <v>439</v>
      </c>
      <c r="B298" s="3" t="s">
        <v>440</v>
      </c>
      <c r="C298" s="4" t="s">
        <v>441</v>
      </c>
      <c r="D298" s="7" t="str">
        <f>+228 93771119</f>
        <v>#ERROR!</v>
      </c>
    </row>
    <row r="299">
      <c r="A299" s="5"/>
      <c r="B299" s="5"/>
      <c r="C299" s="5"/>
      <c r="D299" s="5"/>
    </row>
    <row r="300">
      <c r="A300" s="3" t="s">
        <v>442</v>
      </c>
      <c r="B300" s="3" t="s">
        <v>443</v>
      </c>
      <c r="C300" s="4" t="s">
        <v>444</v>
      </c>
      <c r="D300" s="3">
        <v>9.052517438E9</v>
      </c>
    </row>
    <row r="301">
      <c r="A301" s="5"/>
      <c r="B301" s="5"/>
      <c r="C301" s="5"/>
      <c r="D301" s="5"/>
    </row>
    <row r="302">
      <c r="A302" s="3" t="s">
        <v>445</v>
      </c>
      <c r="B302" s="3" t="s">
        <v>29</v>
      </c>
      <c r="C302" s="4" t="s">
        <v>446</v>
      </c>
      <c r="D302" s="3" t="s">
        <v>447</v>
      </c>
    </row>
    <row r="303">
      <c r="A303" s="5"/>
      <c r="B303" s="5"/>
      <c r="C303" s="5"/>
      <c r="D303" s="5"/>
    </row>
    <row r="304">
      <c r="A304" s="3" t="s">
        <v>448</v>
      </c>
      <c r="B304" s="3" t="s">
        <v>449</v>
      </c>
      <c r="C304" s="4" t="s">
        <v>450</v>
      </c>
      <c r="D304" s="3">
        <v>4.168199265E9</v>
      </c>
    </row>
    <row r="305">
      <c r="A305" s="5"/>
      <c r="B305" s="5"/>
      <c r="C305" s="5"/>
      <c r="D305" s="5"/>
    </row>
    <row r="306">
      <c r="A306" s="3" t="s">
        <v>451</v>
      </c>
      <c r="B306" s="3" t="s">
        <v>452</v>
      </c>
      <c r="C306" s="4" t="s">
        <v>453</v>
      </c>
      <c r="D306" s="3">
        <v>4.700000047E9</v>
      </c>
    </row>
    <row r="307">
      <c r="A307" s="5"/>
      <c r="B307" s="5"/>
      <c r="C307" s="5"/>
      <c r="D307" s="5"/>
    </row>
    <row r="308">
      <c r="A308" s="3" t="s">
        <v>454</v>
      </c>
      <c r="B308" s="3" t="s">
        <v>150</v>
      </c>
      <c r="C308" s="4" t="s">
        <v>455</v>
      </c>
      <c r="D308" s="3" t="s">
        <v>456</v>
      </c>
    </row>
    <row r="309">
      <c r="A309" s="5"/>
      <c r="B309" s="5"/>
      <c r="C309" s="5"/>
      <c r="D309" s="5"/>
    </row>
    <row r="310">
      <c r="A310" s="3" t="s">
        <v>457</v>
      </c>
      <c r="B310" s="3" t="s">
        <v>458</v>
      </c>
      <c r="C310" s="3">
        <v>2368.0</v>
      </c>
      <c r="D310" s="3" t="s">
        <v>459</v>
      </c>
    </row>
    <row r="311">
      <c r="A311" s="5"/>
      <c r="B311" s="5"/>
      <c r="C311" s="5"/>
      <c r="D311" s="5"/>
    </row>
    <row r="312">
      <c r="A312" s="3" t="s">
        <v>460</v>
      </c>
      <c r="B312" s="3" t="s">
        <v>461</v>
      </c>
      <c r="C312" s="4" t="s">
        <v>462</v>
      </c>
      <c r="D312" s="7" t="str">
        <f>+261 34 32 793 36</f>
        <v>#ERROR!</v>
      </c>
    </row>
    <row r="313">
      <c r="A313" s="5"/>
      <c r="B313" s="5"/>
      <c r="C313" s="5"/>
      <c r="D313" s="5"/>
    </row>
    <row r="314">
      <c r="A314" s="3" t="s">
        <v>463</v>
      </c>
      <c r="B314" s="3" t="s">
        <v>464</v>
      </c>
      <c r="C314" s="4" t="s">
        <v>465</v>
      </c>
      <c r="D314" s="7" t="str">
        <f>+242 06 664 6612</f>
        <v>#ERROR!</v>
      </c>
    </row>
    <row r="315">
      <c r="A315" s="5"/>
      <c r="B315" s="5"/>
      <c r="C315" s="5"/>
      <c r="D315" s="5"/>
    </row>
    <row r="316">
      <c r="A316" s="3" t="s">
        <v>436</v>
      </c>
      <c r="B316" s="3" t="s">
        <v>466</v>
      </c>
      <c r="C316" s="4" t="s">
        <v>467</v>
      </c>
      <c r="D316" s="3">
        <v>6.27463471E8</v>
      </c>
    </row>
    <row r="317">
      <c r="A317" s="5"/>
      <c r="B317" s="5"/>
      <c r="C317" s="5"/>
      <c r="D317" s="5"/>
    </row>
    <row r="318">
      <c r="A318" s="3" t="s">
        <v>468</v>
      </c>
      <c r="B318" s="3" t="s">
        <v>469</v>
      </c>
      <c r="C318" s="4" t="s">
        <v>470</v>
      </c>
      <c r="D318" s="6">
        <v>2.43998E11</v>
      </c>
    </row>
    <row r="319">
      <c r="A319" s="5"/>
      <c r="B319" s="5"/>
      <c r="C319" s="5"/>
      <c r="D319" s="5"/>
    </row>
    <row r="320">
      <c r="A320" s="3" t="s">
        <v>471</v>
      </c>
      <c r="B320" s="3" t="s">
        <v>472</v>
      </c>
      <c r="C320" s="4" t="s">
        <v>473</v>
      </c>
      <c r="D320" s="3">
        <v>6.9296694E7</v>
      </c>
    </row>
    <row r="321">
      <c r="A321" s="5"/>
      <c r="B321" s="5"/>
      <c r="C321" s="5"/>
      <c r="D321" s="5"/>
    </row>
    <row r="322">
      <c r="A322" s="3" t="s">
        <v>474</v>
      </c>
      <c r="B322" s="3" t="s">
        <v>475</v>
      </c>
      <c r="C322" s="4" t="s">
        <v>476</v>
      </c>
      <c r="D322" s="6">
        <v>2.43835E11</v>
      </c>
    </row>
    <row r="323">
      <c r="A323" s="5"/>
      <c r="B323" s="5"/>
      <c r="C323" s="5"/>
      <c r="D323" s="5"/>
    </row>
    <row r="324">
      <c r="A324" s="3" t="s">
        <v>477</v>
      </c>
      <c r="B324" s="3" t="s">
        <v>478</v>
      </c>
      <c r="C324" s="4" t="s">
        <v>479</v>
      </c>
      <c r="D324" s="7" t="str">
        <f>+243 986980635</f>
        <v>#ERROR!</v>
      </c>
    </row>
    <row r="325">
      <c r="A325" s="5"/>
      <c r="B325" s="5"/>
      <c r="C325" s="5"/>
      <c r="D325" s="5"/>
    </row>
    <row r="326">
      <c r="A326" s="3" t="s">
        <v>480</v>
      </c>
      <c r="B326" s="3" t="s">
        <v>481</v>
      </c>
      <c r="C326" s="4" t="s">
        <v>482</v>
      </c>
      <c r="D326" s="3" t="s">
        <v>483</v>
      </c>
    </row>
    <row r="327">
      <c r="A327" s="5"/>
      <c r="B327" s="5"/>
      <c r="C327" s="5"/>
      <c r="D327" s="5"/>
    </row>
    <row r="328">
      <c r="A328" s="3" t="s">
        <v>484</v>
      </c>
      <c r="B328" s="3" t="s">
        <v>228</v>
      </c>
      <c r="C328" s="4" t="s">
        <v>485</v>
      </c>
      <c r="D328" s="6">
        <v>2.21785E11</v>
      </c>
    </row>
    <row r="329">
      <c r="A329" s="5"/>
      <c r="B329" s="5"/>
      <c r="C329" s="5"/>
      <c r="D329" s="5"/>
    </row>
    <row r="330">
      <c r="A330" s="3" t="s">
        <v>486</v>
      </c>
      <c r="B330" s="3" t="s">
        <v>487</v>
      </c>
      <c r="C330" s="4" t="s">
        <v>488</v>
      </c>
      <c r="D330" s="6">
        <v>2.43812E11</v>
      </c>
    </row>
    <row r="331">
      <c r="A331" s="5"/>
      <c r="B331" s="5"/>
      <c r="C331" s="5"/>
      <c r="D331" s="5"/>
    </row>
    <row r="332">
      <c r="A332" s="3" t="s">
        <v>489</v>
      </c>
      <c r="B332" s="3" t="s">
        <v>490</v>
      </c>
      <c r="C332" s="4" t="s">
        <v>491</v>
      </c>
      <c r="D332" s="6">
        <v>2.43817E11</v>
      </c>
    </row>
    <row r="333">
      <c r="A333" s="5"/>
      <c r="B333" s="5"/>
      <c r="C333" s="5"/>
      <c r="D333" s="5"/>
    </row>
    <row r="334">
      <c r="A334" s="3" t="s">
        <v>492</v>
      </c>
      <c r="B334" s="3" t="s">
        <v>493</v>
      </c>
      <c r="C334" s="4" t="s">
        <v>494</v>
      </c>
      <c r="D334" s="6">
        <v>2.21776E11</v>
      </c>
    </row>
    <row r="335">
      <c r="A335" s="5"/>
      <c r="B335" s="5"/>
      <c r="C335" s="5"/>
      <c r="D335" s="5"/>
    </row>
    <row r="336">
      <c r="A336" s="3" t="s">
        <v>495</v>
      </c>
      <c r="B336" s="3" t="s">
        <v>496</v>
      </c>
      <c r="C336" s="3" t="s">
        <v>497</v>
      </c>
      <c r="D336" s="3">
        <v>8.97265953E8</v>
      </c>
    </row>
    <row r="337">
      <c r="A337" s="5"/>
      <c r="B337" s="5"/>
      <c r="C337" s="5"/>
      <c r="D337" s="5"/>
    </row>
    <row r="338">
      <c r="A338" s="3" t="s">
        <v>498</v>
      </c>
      <c r="B338" s="3" t="s">
        <v>499</v>
      </c>
      <c r="C338" s="4" t="s">
        <v>500</v>
      </c>
      <c r="D338" s="6">
        <v>2.43816E11</v>
      </c>
    </row>
    <row r="339">
      <c r="A339" s="5"/>
      <c r="B339" s="5"/>
      <c r="C339" s="5"/>
      <c r="D339" s="5"/>
    </row>
    <row r="340">
      <c r="A340" s="3" t="s">
        <v>501</v>
      </c>
      <c r="B340" s="3" t="s">
        <v>501</v>
      </c>
      <c r="C340" s="4" t="s">
        <v>502</v>
      </c>
      <c r="D340" s="3" t="s">
        <v>503</v>
      </c>
    </row>
    <row r="341">
      <c r="A341" s="5"/>
      <c r="B341" s="5"/>
      <c r="C341" s="5"/>
      <c r="D341" s="5"/>
    </row>
    <row r="342">
      <c r="A342" s="3" t="s">
        <v>504</v>
      </c>
      <c r="B342" s="3" t="s">
        <v>505</v>
      </c>
      <c r="C342" s="4" t="s">
        <v>506</v>
      </c>
      <c r="D342" s="6">
        <v>2.61325E11</v>
      </c>
    </row>
    <row r="343">
      <c r="A343" s="5"/>
      <c r="B343" s="5"/>
      <c r="C343" s="5"/>
      <c r="D343" s="5"/>
    </row>
    <row r="344">
      <c r="A344" s="3" t="s">
        <v>507</v>
      </c>
      <c r="B344" s="3" t="s">
        <v>508</v>
      </c>
      <c r="C344" s="4" t="s">
        <v>509</v>
      </c>
      <c r="D344" s="6">
        <v>2.21779E11</v>
      </c>
    </row>
    <row r="345">
      <c r="A345" s="5"/>
      <c r="B345" s="5"/>
      <c r="C345" s="5"/>
      <c r="D345" s="5"/>
    </row>
    <row r="346">
      <c r="A346" s="3" t="s">
        <v>510</v>
      </c>
      <c r="B346" s="3" t="s">
        <v>511</v>
      </c>
      <c r="C346" s="4" t="s">
        <v>512</v>
      </c>
      <c r="D346" s="6">
        <v>2.42069E11</v>
      </c>
    </row>
    <row r="347">
      <c r="A347" s="5"/>
      <c r="B347" s="5"/>
      <c r="C347" s="5"/>
      <c r="D347" s="5"/>
    </row>
    <row r="348">
      <c r="A348" s="3" t="s">
        <v>513</v>
      </c>
      <c r="B348" s="3" t="s">
        <v>514</v>
      </c>
      <c r="C348" s="4" t="s">
        <v>515</v>
      </c>
      <c r="D348" s="3">
        <v>7.77596892E8</v>
      </c>
    </row>
    <row r="349">
      <c r="A349" s="5"/>
      <c r="B349" s="5"/>
      <c r="C349" s="5"/>
      <c r="D349" s="5"/>
    </row>
    <row r="350">
      <c r="A350" s="3" t="s">
        <v>516</v>
      </c>
      <c r="B350" s="3" t="s">
        <v>517</v>
      </c>
      <c r="C350" s="4" t="s">
        <v>518</v>
      </c>
      <c r="D350" s="3">
        <v>2.3560023779E10</v>
      </c>
    </row>
    <row r="351">
      <c r="A351" s="5"/>
      <c r="B351" s="5"/>
      <c r="C351" s="5"/>
      <c r="D351" s="5"/>
    </row>
    <row r="352">
      <c r="A352" s="3" t="s">
        <v>519</v>
      </c>
      <c r="B352" s="3" t="s">
        <v>520</v>
      </c>
      <c r="C352" s="4" t="s">
        <v>521</v>
      </c>
      <c r="D352" s="3" t="s">
        <v>522</v>
      </c>
    </row>
    <row r="353">
      <c r="A353" s="5"/>
      <c r="B353" s="5"/>
      <c r="C353" s="5"/>
      <c r="D353" s="5"/>
    </row>
    <row r="354">
      <c r="A354" s="3" t="s">
        <v>523</v>
      </c>
      <c r="B354" s="3" t="s">
        <v>524</v>
      </c>
      <c r="C354" s="4" t="s">
        <v>525</v>
      </c>
      <c r="D354" s="3">
        <v>4.168715056E9</v>
      </c>
    </row>
    <row r="355">
      <c r="A355" s="5"/>
      <c r="B355" s="5"/>
      <c r="C355" s="5"/>
      <c r="D355" s="5"/>
    </row>
    <row r="356">
      <c r="A356" s="3" t="s">
        <v>526</v>
      </c>
      <c r="B356" s="3" t="s">
        <v>527</v>
      </c>
      <c r="C356" s="4" t="s">
        <v>528</v>
      </c>
      <c r="D356" s="6">
        <v>2.42065E11</v>
      </c>
    </row>
    <row r="357">
      <c r="A357" s="5"/>
      <c r="B357" s="5"/>
      <c r="C357" s="5"/>
      <c r="D357" s="5"/>
    </row>
    <row r="358">
      <c r="A358" s="3" t="s">
        <v>529</v>
      </c>
      <c r="B358" s="3" t="s">
        <v>530</v>
      </c>
      <c r="C358" s="4" t="s">
        <v>531</v>
      </c>
      <c r="D358" s="3">
        <v>6.5611457E7</v>
      </c>
    </row>
    <row r="359">
      <c r="A359" s="5"/>
      <c r="B359" s="5"/>
      <c r="C359" s="5"/>
      <c r="D359" s="5"/>
    </row>
    <row r="360">
      <c r="A360" s="3" t="s">
        <v>532</v>
      </c>
      <c r="B360" s="3" t="s">
        <v>533</v>
      </c>
      <c r="C360" s="4" t="s">
        <v>534</v>
      </c>
      <c r="D360" s="3">
        <v>2.289028127E10</v>
      </c>
    </row>
    <row r="361">
      <c r="A361" s="5"/>
      <c r="B361" s="5"/>
      <c r="C361" s="5"/>
      <c r="D361" s="5"/>
    </row>
    <row r="362">
      <c r="A362" s="3" t="s">
        <v>535</v>
      </c>
      <c r="B362" s="3" t="s">
        <v>228</v>
      </c>
      <c r="C362" s="4" t="s">
        <v>536</v>
      </c>
      <c r="D362" s="3">
        <v>7.70292462E8</v>
      </c>
    </row>
    <row r="363">
      <c r="A363" s="5"/>
      <c r="B363" s="5"/>
      <c r="C363" s="5"/>
      <c r="D363" s="5"/>
    </row>
    <row r="364">
      <c r="A364" s="3" t="s">
        <v>537</v>
      </c>
      <c r="B364" s="3" t="s">
        <v>538</v>
      </c>
      <c r="C364" s="4" t="s">
        <v>539</v>
      </c>
      <c r="D364" s="3">
        <v>4.164200047E9</v>
      </c>
    </row>
    <row r="365">
      <c r="A365" s="5"/>
      <c r="B365" s="5"/>
      <c r="C365" s="5"/>
      <c r="D365" s="5"/>
    </row>
    <row r="366">
      <c r="A366" s="3" t="s">
        <v>540</v>
      </c>
      <c r="B366" s="3" t="s">
        <v>541</v>
      </c>
      <c r="C366" s="4" t="s">
        <v>542</v>
      </c>
      <c r="D366" s="6">
        <v>2.21773E11</v>
      </c>
    </row>
    <row r="367">
      <c r="A367" s="5"/>
      <c r="B367" s="5"/>
      <c r="C367" s="5"/>
      <c r="D367" s="5"/>
    </row>
    <row r="368">
      <c r="A368" s="3" t="s">
        <v>543</v>
      </c>
      <c r="B368" s="3" t="s">
        <v>544</v>
      </c>
      <c r="C368" s="4" t="s">
        <v>545</v>
      </c>
      <c r="D368" s="6">
        <v>2.21782E11</v>
      </c>
    </row>
    <row r="369">
      <c r="A369" s="5"/>
      <c r="B369" s="5"/>
      <c r="C369" s="5"/>
      <c r="D369" s="5"/>
    </row>
    <row r="370">
      <c r="A370" s="3" t="s">
        <v>546</v>
      </c>
      <c r="B370" s="3" t="s">
        <v>293</v>
      </c>
      <c r="C370" s="4" t="s">
        <v>547</v>
      </c>
      <c r="D370" s="3" t="s">
        <v>548</v>
      </c>
    </row>
    <row r="371">
      <c r="A371" s="5"/>
      <c r="B371" s="5"/>
      <c r="C371" s="5"/>
      <c r="D371" s="5"/>
    </row>
    <row r="372">
      <c r="A372" s="3" t="s">
        <v>549</v>
      </c>
      <c r="B372" s="3" t="s">
        <v>550</v>
      </c>
      <c r="C372" s="4" t="s">
        <v>551</v>
      </c>
      <c r="D372" s="6">
        <v>2.31078E12</v>
      </c>
    </row>
    <row r="373">
      <c r="A373" s="5"/>
      <c r="B373" s="5"/>
      <c r="C373" s="5"/>
      <c r="D373" s="5"/>
    </row>
    <row r="374">
      <c r="A374" s="3" t="s">
        <v>552</v>
      </c>
      <c r="B374" s="3" t="s">
        <v>553</v>
      </c>
      <c r="C374" s="4" t="s">
        <v>554</v>
      </c>
      <c r="D374" s="3" t="s">
        <v>555</v>
      </c>
    </row>
    <row r="375">
      <c r="A375" s="5"/>
      <c r="B375" s="5"/>
      <c r="C375" s="5"/>
      <c r="D375" s="5"/>
    </row>
    <row r="376">
      <c r="A376" s="3" t="s">
        <v>556</v>
      </c>
      <c r="B376" s="3" t="s">
        <v>557</v>
      </c>
      <c r="C376" s="4" t="s">
        <v>558</v>
      </c>
      <c r="D376" s="3">
        <v>2.4174056041E10</v>
      </c>
    </row>
    <row r="377">
      <c r="A377" s="5"/>
      <c r="B377" s="5"/>
      <c r="C377" s="5"/>
      <c r="D377" s="5"/>
    </row>
    <row r="378">
      <c r="A378" s="3" t="s">
        <v>559</v>
      </c>
      <c r="B378" s="3" t="s">
        <v>560</v>
      </c>
      <c r="C378" s="4" t="s">
        <v>561</v>
      </c>
      <c r="D378" s="6">
        <v>2.31887E11</v>
      </c>
    </row>
    <row r="379">
      <c r="A379" s="5"/>
      <c r="B379" s="5"/>
      <c r="C379" s="5"/>
      <c r="D379" s="5"/>
    </row>
    <row r="380">
      <c r="A380" s="3" t="s">
        <v>562</v>
      </c>
      <c r="B380" s="3" t="s">
        <v>563</v>
      </c>
      <c r="C380" s="4" t="s">
        <v>564</v>
      </c>
      <c r="D380" s="3">
        <v>2.4165050421E10</v>
      </c>
    </row>
    <row r="381">
      <c r="A381" s="5"/>
      <c r="B381" s="5"/>
      <c r="C381" s="5"/>
      <c r="D381" s="5"/>
    </row>
    <row r="382">
      <c r="A382" s="3" t="s">
        <v>565</v>
      </c>
      <c r="B382" s="3" t="s">
        <v>566</v>
      </c>
      <c r="C382" s="4" t="s">
        <v>567</v>
      </c>
      <c r="D382" s="3">
        <v>6.472423551E9</v>
      </c>
    </row>
    <row r="383">
      <c r="A383" s="5"/>
      <c r="B383" s="5"/>
      <c r="C383" s="5"/>
      <c r="D383" s="5"/>
    </row>
    <row r="384">
      <c r="A384" s="3" t="s">
        <v>4</v>
      </c>
      <c r="B384" s="3" t="s">
        <v>568</v>
      </c>
      <c r="C384" s="4" t="s">
        <v>569</v>
      </c>
      <c r="D384" s="3">
        <v>5.96118237E8</v>
      </c>
    </row>
    <row r="385">
      <c r="A385" s="5"/>
      <c r="B385" s="5"/>
      <c r="C385" s="5"/>
      <c r="D385" s="5"/>
    </row>
    <row r="386">
      <c r="A386" s="3" t="s">
        <v>570</v>
      </c>
      <c r="B386" s="3" t="s">
        <v>571</v>
      </c>
      <c r="C386" s="4" t="s">
        <v>572</v>
      </c>
      <c r="D386" s="6">
        <v>2.43812E11</v>
      </c>
    </row>
    <row r="387">
      <c r="A387" s="5"/>
      <c r="B387" s="5"/>
      <c r="C387" s="5"/>
      <c r="D387" s="5"/>
    </row>
    <row r="388">
      <c r="A388" s="3" t="s">
        <v>573</v>
      </c>
      <c r="B388" s="3" t="s">
        <v>574</v>
      </c>
      <c r="C388" s="3" t="s">
        <v>575</v>
      </c>
      <c r="D388" s="3">
        <v>2.287130151E10</v>
      </c>
    </row>
    <row r="389">
      <c r="A389" s="5"/>
      <c r="B389" s="5"/>
      <c r="C389" s="5"/>
      <c r="D389" s="5"/>
    </row>
    <row r="390">
      <c r="A390" s="3" t="s">
        <v>576</v>
      </c>
      <c r="B390" s="3" t="s">
        <v>577</v>
      </c>
      <c r="C390" s="4" t="s">
        <v>578</v>
      </c>
      <c r="D390" s="6">
        <v>2.21783E11</v>
      </c>
    </row>
    <row r="391">
      <c r="A391" s="5"/>
      <c r="B391" s="5"/>
      <c r="C391" s="5"/>
      <c r="D391" s="5"/>
    </row>
    <row r="392">
      <c r="A392" s="3" t="s">
        <v>579</v>
      </c>
      <c r="B392" s="3" t="s">
        <v>580</v>
      </c>
      <c r="C392" s="4" t="s">
        <v>581</v>
      </c>
      <c r="D392" s="3">
        <v>2.3591670162E10</v>
      </c>
    </row>
    <row r="393">
      <c r="A393" s="5"/>
      <c r="B393" s="5"/>
      <c r="C393" s="5"/>
      <c r="D393" s="5"/>
    </row>
    <row r="394">
      <c r="A394" s="3" t="s">
        <v>582</v>
      </c>
      <c r="B394" s="3" t="s">
        <v>583</v>
      </c>
      <c r="C394" s="4" t="s">
        <v>584</v>
      </c>
      <c r="D394" s="3">
        <v>2.3566998589E10</v>
      </c>
    </row>
    <row r="395">
      <c r="A395" s="5"/>
      <c r="B395" s="5"/>
      <c r="C395" s="5"/>
      <c r="D395" s="5"/>
    </row>
    <row r="396">
      <c r="A396" s="3" t="s">
        <v>585</v>
      </c>
      <c r="B396" s="3" t="s">
        <v>586</v>
      </c>
      <c r="C396" s="4" t="s">
        <v>587</v>
      </c>
      <c r="D396" s="7" t="str">
        <f>+228 91674784 / +228 9873</f>
        <v>#ERROR!</v>
      </c>
    </row>
    <row r="397">
      <c r="A397" s="5"/>
      <c r="B397" s="5"/>
      <c r="C397" s="5"/>
      <c r="D397" s="5"/>
    </row>
    <row r="398">
      <c r="A398" s="3" t="s">
        <v>588</v>
      </c>
      <c r="B398" s="3" t="s">
        <v>589</v>
      </c>
      <c r="C398" s="4" t="s">
        <v>590</v>
      </c>
      <c r="D398" s="3">
        <v>9.056226066E9</v>
      </c>
    </row>
    <row r="399">
      <c r="A399" s="5"/>
      <c r="B399" s="5"/>
      <c r="C399" s="5"/>
      <c r="D399" s="5"/>
    </row>
    <row r="400">
      <c r="A400" s="3" t="s">
        <v>591</v>
      </c>
      <c r="B400" s="3" t="s">
        <v>592</v>
      </c>
      <c r="C400" s="4" t="s">
        <v>593</v>
      </c>
      <c r="D400" s="3">
        <v>1.6477452645E10</v>
      </c>
    </row>
    <row r="401">
      <c r="A401" s="5"/>
      <c r="B401" s="5"/>
      <c r="C401" s="5"/>
      <c r="D401" s="5"/>
    </row>
    <row r="402">
      <c r="A402" s="3" t="s">
        <v>594</v>
      </c>
      <c r="B402" s="3" t="s">
        <v>595</v>
      </c>
      <c r="C402" s="4" t="s">
        <v>596</v>
      </c>
      <c r="D402" s="3">
        <v>3.658855058E9</v>
      </c>
    </row>
    <row r="403">
      <c r="A403" s="5"/>
      <c r="B403" s="5"/>
      <c r="C403" s="5"/>
      <c r="D403" s="5"/>
    </row>
    <row r="404">
      <c r="A404" s="3" t="s">
        <v>597</v>
      </c>
      <c r="B404" s="3" t="s">
        <v>597</v>
      </c>
      <c r="C404" s="4" t="s">
        <v>598</v>
      </c>
      <c r="D404" s="7" t="str">
        <f>+242 053551657</f>
        <v>#ERROR!</v>
      </c>
    </row>
    <row r="405">
      <c r="A405" s="5"/>
      <c r="B405" s="5"/>
      <c r="C405" s="5"/>
      <c r="D405" s="5"/>
    </row>
    <row r="406">
      <c r="A406" s="3" t="s">
        <v>599</v>
      </c>
      <c r="B406" s="3" t="s">
        <v>600</v>
      </c>
      <c r="C406" s="4" t="s">
        <v>601</v>
      </c>
      <c r="D406" s="3">
        <v>7.7301659E7</v>
      </c>
    </row>
    <row r="407">
      <c r="A407" s="5"/>
      <c r="B407" s="5"/>
      <c r="C407" s="5"/>
      <c r="D407" s="5"/>
    </row>
    <row r="408">
      <c r="A408" s="3" t="s">
        <v>602</v>
      </c>
      <c r="B408" s="3" t="s">
        <v>603</v>
      </c>
      <c r="C408" s="4" t="s">
        <v>604</v>
      </c>
      <c r="D408" s="3">
        <v>6.478301719E9</v>
      </c>
    </row>
    <row r="409">
      <c r="A409" s="5"/>
      <c r="B409" s="5"/>
      <c r="C409" s="5"/>
      <c r="D409" s="5"/>
    </row>
    <row r="410">
      <c r="A410" s="3" t="s">
        <v>605</v>
      </c>
      <c r="B410" s="3" t="s">
        <v>606</v>
      </c>
      <c r="C410" s="4" t="s">
        <v>607</v>
      </c>
      <c r="D410" s="3">
        <v>7.83949673E8</v>
      </c>
    </row>
    <row r="411">
      <c r="A411" s="5"/>
      <c r="B411" s="5"/>
      <c r="C411" s="5"/>
      <c r="D411" s="5"/>
    </row>
    <row r="412">
      <c r="A412" s="3" t="s">
        <v>608</v>
      </c>
      <c r="B412" s="3" t="s">
        <v>609</v>
      </c>
      <c r="C412" s="4" t="s">
        <v>610</v>
      </c>
      <c r="D412" s="3">
        <v>9.368109793E9</v>
      </c>
    </row>
    <row r="413">
      <c r="A413" s="5"/>
      <c r="B413" s="5"/>
      <c r="C413" s="5"/>
      <c r="D413" s="5"/>
    </row>
    <row r="414">
      <c r="A414" s="3" t="s">
        <v>611</v>
      </c>
      <c r="B414" s="3" t="s">
        <v>612</v>
      </c>
      <c r="C414" s="4" t="s">
        <v>613</v>
      </c>
      <c r="D414" s="3">
        <v>6.6072133E7</v>
      </c>
    </row>
    <row r="415">
      <c r="A415" s="5"/>
      <c r="B415" s="5"/>
      <c r="C415" s="5"/>
      <c r="D415" s="5"/>
    </row>
    <row r="416">
      <c r="A416" s="3" t="s">
        <v>614</v>
      </c>
      <c r="B416" s="3" t="s">
        <v>615</v>
      </c>
      <c r="C416" s="4" t="s">
        <v>616</v>
      </c>
      <c r="D416" s="3">
        <v>2.3890591111E10</v>
      </c>
    </row>
    <row r="417">
      <c r="A417" s="5"/>
      <c r="B417" s="5"/>
      <c r="C417" s="5"/>
      <c r="D417" s="5"/>
    </row>
    <row r="418">
      <c r="A418" s="3" t="s">
        <v>617</v>
      </c>
      <c r="B418" s="3" t="s">
        <v>618</v>
      </c>
      <c r="C418" s="4" t="s">
        <v>619</v>
      </c>
      <c r="D418" s="3">
        <v>7.74775788E8</v>
      </c>
    </row>
    <row r="419">
      <c r="A419" s="5"/>
      <c r="B419" s="5"/>
      <c r="C419" s="5"/>
      <c r="D419" s="5"/>
    </row>
    <row r="420">
      <c r="A420" s="3" t="s">
        <v>620</v>
      </c>
      <c r="B420" s="3" t="s">
        <v>621</v>
      </c>
      <c r="C420" s="4" t="s">
        <v>622</v>
      </c>
      <c r="D420" s="6">
        <v>2.21775E11</v>
      </c>
    </row>
    <row r="421">
      <c r="A421" s="5"/>
      <c r="B421" s="5"/>
      <c r="C421" s="5"/>
      <c r="D421" s="5"/>
    </row>
    <row r="422">
      <c r="A422" s="3" t="s">
        <v>623</v>
      </c>
      <c r="B422" s="3" t="s">
        <v>624</v>
      </c>
      <c r="C422" s="4" t="s">
        <v>625</v>
      </c>
      <c r="D422" s="3" t="s">
        <v>626</v>
      </c>
    </row>
    <row r="423">
      <c r="A423" s="5"/>
      <c r="B423" s="5"/>
      <c r="C423" s="5"/>
      <c r="D423" s="5"/>
    </row>
    <row r="424">
      <c r="A424" s="3" t="s">
        <v>627</v>
      </c>
      <c r="B424" s="3" t="s">
        <v>628</v>
      </c>
      <c r="C424" s="4" t="s">
        <v>629</v>
      </c>
      <c r="D424" s="3" t="s">
        <v>630</v>
      </c>
    </row>
    <row r="425">
      <c r="A425" s="5"/>
      <c r="B425" s="5"/>
      <c r="C425" s="5"/>
      <c r="D425" s="5"/>
    </row>
    <row r="426">
      <c r="A426" s="3" t="s">
        <v>631</v>
      </c>
      <c r="B426" s="3" t="s">
        <v>632</v>
      </c>
      <c r="C426" s="4" t="s">
        <v>633</v>
      </c>
      <c r="D426" s="6">
        <v>2.21774E11</v>
      </c>
    </row>
    <row r="427">
      <c r="A427" s="5"/>
      <c r="B427" s="5"/>
      <c r="C427" s="5"/>
      <c r="D427" s="5"/>
    </row>
    <row r="428">
      <c r="A428" s="3" t="s">
        <v>599</v>
      </c>
      <c r="B428" s="3" t="s">
        <v>634</v>
      </c>
      <c r="C428" s="4" t="s">
        <v>635</v>
      </c>
      <c r="D428" s="6">
        <v>2.24629E11</v>
      </c>
    </row>
    <row r="429">
      <c r="A429" s="5"/>
      <c r="B429" s="5"/>
      <c r="C429" s="5"/>
      <c r="D429" s="5"/>
    </row>
    <row r="430">
      <c r="A430" s="3" t="s">
        <v>636</v>
      </c>
      <c r="B430" s="3" t="s">
        <v>637</v>
      </c>
      <c r="C430" s="4" t="s">
        <v>638</v>
      </c>
      <c r="D430" s="3">
        <v>3.035066776E9</v>
      </c>
    </row>
    <row r="431">
      <c r="A431" s="5"/>
      <c r="B431" s="5"/>
      <c r="C431" s="5"/>
      <c r="D431" s="5"/>
    </row>
    <row r="432">
      <c r="A432" s="3" t="s">
        <v>110</v>
      </c>
      <c r="B432" s="3" t="s">
        <v>639</v>
      </c>
      <c r="C432" s="4" t="s">
        <v>640</v>
      </c>
      <c r="D432" s="3">
        <v>8.86604642E8</v>
      </c>
    </row>
    <row r="433">
      <c r="A433" s="5"/>
      <c r="B433" s="5"/>
      <c r="C433" s="5"/>
      <c r="D433" s="5"/>
    </row>
    <row r="434">
      <c r="A434" s="3" t="s">
        <v>416</v>
      </c>
      <c r="B434" s="3" t="s">
        <v>641</v>
      </c>
      <c r="C434" s="4" t="s">
        <v>642</v>
      </c>
      <c r="D434" s="3">
        <v>2.3592088856E10</v>
      </c>
    </row>
    <row r="435">
      <c r="A435" s="5"/>
      <c r="B435" s="5"/>
      <c r="C435" s="5"/>
      <c r="D435" s="5"/>
    </row>
    <row r="436">
      <c r="A436" s="3" t="s">
        <v>643</v>
      </c>
      <c r="B436" s="3" t="s">
        <v>632</v>
      </c>
      <c r="C436" s="4" t="s">
        <v>644</v>
      </c>
      <c r="D436" s="3">
        <v>7.761979E8</v>
      </c>
    </row>
    <row r="437">
      <c r="A437" s="5"/>
      <c r="B437" s="5"/>
      <c r="C437" s="5"/>
      <c r="D437" s="5"/>
    </row>
    <row r="438">
      <c r="A438" s="3" t="s">
        <v>645</v>
      </c>
      <c r="B438" s="3" t="s">
        <v>646</v>
      </c>
      <c r="C438" s="4" t="s">
        <v>647</v>
      </c>
      <c r="D438" s="3">
        <v>9.305927E7</v>
      </c>
    </row>
    <row r="439">
      <c r="A439" s="5"/>
      <c r="B439" s="5"/>
      <c r="C439" s="5"/>
      <c r="D439" s="5"/>
    </row>
    <row r="440">
      <c r="A440" s="3" t="s">
        <v>648</v>
      </c>
      <c r="B440" s="3" t="s">
        <v>649</v>
      </c>
      <c r="C440" s="4" t="s">
        <v>650</v>
      </c>
      <c r="D440" s="3">
        <v>8.8080699E7</v>
      </c>
    </row>
    <row r="441">
      <c r="A441" s="5"/>
      <c r="B441" s="5"/>
      <c r="C441" s="5"/>
      <c r="D441" s="5"/>
    </row>
    <row r="442">
      <c r="A442" s="3" t="s">
        <v>651</v>
      </c>
      <c r="B442" s="3" t="s">
        <v>652</v>
      </c>
      <c r="C442" s="4" t="s">
        <v>653</v>
      </c>
      <c r="D442" s="3" t="s">
        <v>654</v>
      </c>
    </row>
    <row r="443">
      <c r="A443" s="5"/>
      <c r="B443" s="5"/>
      <c r="C443" s="5"/>
      <c r="D443" s="5"/>
    </row>
    <row r="444">
      <c r="A444" s="3" t="s">
        <v>655</v>
      </c>
      <c r="B444" s="3" t="s">
        <v>656</v>
      </c>
      <c r="C444" s="4" t="s">
        <v>657</v>
      </c>
      <c r="D444" s="3" t="s">
        <v>658</v>
      </c>
    </row>
    <row r="445">
      <c r="A445" s="5"/>
      <c r="B445" s="5"/>
      <c r="C445" s="5"/>
      <c r="D445" s="5"/>
    </row>
    <row r="446">
      <c r="A446" s="3" t="s">
        <v>659</v>
      </c>
      <c r="B446" s="3" t="s">
        <v>660</v>
      </c>
      <c r="C446" s="3" t="s">
        <v>661</v>
      </c>
      <c r="D446" s="3" t="s">
        <v>662</v>
      </c>
    </row>
    <row r="447">
      <c r="A447" s="5"/>
      <c r="B447" s="5"/>
      <c r="C447" s="5"/>
      <c r="D447" s="5"/>
    </row>
    <row r="448">
      <c r="A448" s="3" t="s">
        <v>663</v>
      </c>
      <c r="B448" s="3" t="s">
        <v>664</v>
      </c>
      <c r="C448" s="4" t="s">
        <v>665</v>
      </c>
      <c r="D448" s="3">
        <v>2.356661789E10</v>
      </c>
    </row>
    <row r="449">
      <c r="A449" s="5"/>
      <c r="B449" s="5"/>
      <c r="C449" s="5"/>
      <c r="D449" s="5"/>
    </row>
    <row r="450">
      <c r="A450" s="3" t="s">
        <v>666</v>
      </c>
      <c r="B450" s="3" t="s">
        <v>544</v>
      </c>
      <c r="C450" s="4" t="s">
        <v>667</v>
      </c>
      <c r="D450" s="3">
        <v>7.81565186E8</v>
      </c>
    </row>
    <row r="451">
      <c r="A451" s="5"/>
      <c r="B451" s="5"/>
      <c r="C451" s="5"/>
      <c r="D451" s="5"/>
    </row>
    <row r="452">
      <c r="A452" s="3" t="s">
        <v>668</v>
      </c>
      <c r="B452" s="3" t="s">
        <v>669</v>
      </c>
      <c r="C452" s="4" t="s">
        <v>670</v>
      </c>
      <c r="D452" s="7" t="str">
        <f>+242 06 562 51 09</f>
        <v>#ERROR!</v>
      </c>
    </row>
    <row r="453">
      <c r="A453" s="5"/>
      <c r="B453" s="5"/>
      <c r="C453" s="5"/>
      <c r="D453" s="5"/>
    </row>
    <row r="454">
      <c r="A454" s="3" t="s">
        <v>671</v>
      </c>
      <c r="B454" s="3" t="s">
        <v>672</v>
      </c>
      <c r="C454" s="4" t="s">
        <v>673</v>
      </c>
      <c r="D454" s="7" t="str">
        <f>+22899860153 93854504</f>
        <v>#ERROR!</v>
      </c>
    </row>
    <row r="455">
      <c r="A455" s="5"/>
      <c r="B455" s="5"/>
      <c r="C455" s="5"/>
      <c r="D455" s="5"/>
    </row>
    <row r="456">
      <c r="A456" s="3" t="s">
        <v>674</v>
      </c>
      <c r="B456" s="3" t="s">
        <v>675</v>
      </c>
      <c r="C456" s="4" t="s">
        <v>676</v>
      </c>
      <c r="D456" s="6">
        <v>2.21777E11</v>
      </c>
    </row>
    <row r="457">
      <c r="A457" s="5"/>
      <c r="B457" s="5"/>
      <c r="C457" s="5"/>
      <c r="D457" s="5"/>
    </row>
    <row r="458">
      <c r="A458" s="3" t="s">
        <v>677</v>
      </c>
      <c r="B458" s="3" t="s">
        <v>293</v>
      </c>
      <c r="C458" s="3">
        <v>6.2248186E7</v>
      </c>
      <c r="D458" s="3">
        <v>6.2248186E7</v>
      </c>
    </row>
    <row r="459">
      <c r="A459" s="5"/>
      <c r="B459" s="5"/>
      <c r="C459" s="5"/>
      <c r="D459" s="5"/>
    </row>
    <row r="460">
      <c r="A460" s="3" t="s">
        <v>678</v>
      </c>
      <c r="B460" s="3" t="s">
        <v>679</v>
      </c>
      <c r="C460" s="4" t="s">
        <v>680</v>
      </c>
      <c r="D460" s="3" t="s">
        <v>681</v>
      </c>
    </row>
    <row r="461">
      <c r="A461" s="5"/>
      <c r="B461" s="5"/>
      <c r="C461" s="5"/>
      <c r="D461" s="5"/>
    </row>
    <row r="462">
      <c r="A462" s="3" t="s">
        <v>682</v>
      </c>
      <c r="B462" s="3" t="s">
        <v>683</v>
      </c>
      <c r="C462" s="4" t="s">
        <v>684</v>
      </c>
      <c r="D462" s="3">
        <v>5.0937955272E10</v>
      </c>
    </row>
    <row r="463">
      <c r="A463" s="5"/>
      <c r="B463" s="5"/>
      <c r="C463" s="5"/>
      <c r="D463" s="5"/>
    </row>
    <row r="464">
      <c r="A464" s="3" t="s">
        <v>685</v>
      </c>
      <c r="B464" s="3" t="s">
        <v>686</v>
      </c>
      <c r="C464" s="4" t="s">
        <v>687</v>
      </c>
      <c r="D464" s="6">
        <v>2.42068E11</v>
      </c>
    </row>
    <row r="465">
      <c r="A465" s="5"/>
      <c r="B465" s="5"/>
      <c r="C465" s="5"/>
      <c r="D465" s="5"/>
    </row>
    <row r="466">
      <c r="A466" s="3" t="s">
        <v>688</v>
      </c>
      <c r="B466" s="3" t="s">
        <v>514</v>
      </c>
      <c r="C466" s="4" t="s">
        <v>689</v>
      </c>
      <c r="D466" s="3">
        <v>7.70201205E8</v>
      </c>
    </row>
    <row r="467">
      <c r="A467" s="5"/>
      <c r="B467" s="5"/>
      <c r="C467" s="5"/>
      <c r="D467" s="5"/>
    </row>
    <row r="468">
      <c r="A468" s="3" t="s">
        <v>690</v>
      </c>
      <c r="B468" s="3" t="s">
        <v>691</v>
      </c>
      <c r="C468" s="4" t="s">
        <v>692</v>
      </c>
      <c r="D468" s="6">
        <v>2.21776E11</v>
      </c>
    </row>
    <row r="469">
      <c r="A469" s="5"/>
      <c r="B469" s="5"/>
      <c r="C469" s="5"/>
      <c r="D469" s="5"/>
    </row>
    <row r="470">
      <c r="A470" s="3" t="s">
        <v>693</v>
      </c>
      <c r="B470" s="3" t="s">
        <v>694</v>
      </c>
      <c r="C470" s="4" t="s">
        <v>695</v>
      </c>
      <c r="D470" s="3" t="s">
        <v>696</v>
      </c>
    </row>
    <row r="471">
      <c r="A471" s="5"/>
      <c r="B471" s="5"/>
      <c r="C471" s="5"/>
      <c r="D471" s="5"/>
    </row>
    <row r="472">
      <c r="A472" s="3" t="s">
        <v>697</v>
      </c>
      <c r="B472" s="3" t="s">
        <v>698</v>
      </c>
      <c r="C472" s="3">
        <v>6.8781955E7</v>
      </c>
      <c r="D472" s="3">
        <v>6.8781955E7</v>
      </c>
    </row>
    <row r="473">
      <c r="A473" s="5"/>
      <c r="B473" s="5"/>
      <c r="C473" s="5"/>
      <c r="D473" s="5"/>
    </row>
    <row r="474">
      <c r="A474" s="3" t="s">
        <v>699</v>
      </c>
      <c r="B474" s="3" t="s">
        <v>700</v>
      </c>
      <c r="C474" s="4" t="s">
        <v>701</v>
      </c>
      <c r="D474" s="6">
        <v>2.21783E11</v>
      </c>
    </row>
    <row r="475">
      <c r="A475" s="5"/>
      <c r="B475" s="5"/>
      <c r="C475" s="5"/>
      <c r="D475" s="5"/>
    </row>
    <row r="476">
      <c r="A476" s="3" t="s">
        <v>702</v>
      </c>
      <c r="B476" s="3" t="s">
        <v>703</v>
      </c>
      <c r="C476" s="4" t="s">
        <v>704</v>
      </c>
      <c r="D476" s="6">
        <v>2.43817E11</v>
      </c>
    </row>
    <row r="477">
      <c r="A477" s="5"/>
      <c r="B477" s="5"/>
      <c r="C477" s="5"/>
      <c r="D477" s="5"/>
    </row>
    <row r="478">
      <c r="A478" s="3" t="s">
        <v>181</v>
      </c>
      <c r="B478" s="3" t="s">
        <v>705</v>
      </c>
      <c r="C478" s="4" t="s">
        <v>706</v>
      </c>
      <c r="D478" s="6">
        <v>2.24613E11</v>
      </c>
    </row>
    <row r="479">
      <c r="A479" s="5"/>
      <c r="B479" s="5"/>
      <c r="C479" s="5"/>
      <c r="D479" s="5"/>
    </row>
    <row r="480">
      <c r="A480" s="3" t="s">
        <v>707</v>
      </c>
      <c r="B480" s="3" t="s">
        <v>708</v>
      </c>
      <c r="C480" s="4" t="s">
        <v>709</v>
      </c>
      <c r="D480" s="7" t="str">
        <f>+221 78 151 90 94</f>
        <v>#ERROR!</v>
      </c>
    </row>
    <row r="481">
      <c r="A481" s="5"/>
      <c r="B481" s="5"/>
      <c r="C481" s="5"/>
      <c r="D481" s="5"/>
    </row>
    <row r="482">
      <c r="A482" s="3" t="s">
        <v>710</v>
      </c>
      <c r="B482" s="3" t="s">
        <v>711</v>
      </c>
      <c r="C482" s="4" t="s">
        <v>712</v>
      </c>
      <c r="D482" s="6">
        <v>2.24628E11</v>
      </c>
    </row>
    <row r="483">
      <c r="A483" s="5"/>
      <c r="B483" s="5"/>
      <c r="C483" s="5"/>
      <c r="D483" s="5"/>
    </row>
    <row r="484">
      <c r="A484" s="3" t="s">
        <v>713</v>
      </c>
      <c r="B484" s="3" t="s">
        <v>714</v>
      </c>
      <c r="C484" s="4" t="s">
        <v>715</v>
      </c>
      <c r="D484" s="3">
        <v>9.8083035E7</v>
      </c>
    </row>
    <row r="485">
      <c r="A485" s="5"/>
      <c r="B485" s="5"/>
      <c r="C485" s="5"/>
      <c r="D485" s="5"/>
    </row>
    <row r="486">
      <c r="A486" s="3" t="s">
        <v>716</v>
      </c>
      <c r="B486" s="3" t="s">
        <v>717</v>
      </c>
      <c r="C486" s="4" t="s">
        <v>718</v>
      </c>
      <c r="D486" s="6">
        <v>2.21766E11</v>
      </c>
    </row>
    <row r="487">
      <c r="A487" s="5"/>
      <c r="B487" s="5"/>
      <c r="C487" s="5"/>
      <c r="D487" s="5"/>
    </row>
    <row r="488">
      <c r="A488" s="3" t="s">
        <v>719</v>
      </c>
      <c r="B488" s="3" t="s">
        <v>720</v>
      </c>
      <c r="C488" s="3" t="s">
        <v>721</v>
      </c>
      <c r="D488" s="7" t="str">
        <f>+241 066463974 oГ№ 076590</f>
        <v>#ERROR!</v>
      </c>
    </row>
    <row r="489">
      <c r="A489" s="5"/>
      <c r="B489" s="5"/>
      <c r="C489" s="5"/>
      <c r="D489" s="5"/>
    </row>
    <row r="490">
      <c r="A490" s="3" t="s">
        <v>722</v>
      </c>
      <c r="B490" s="3" t="s">
        <v>723</v>
      </c>
      <c r="C490" s="3">
        <v>5.55716112E8</v>
      </c>
      <c r="D490" s="3">
        <v>5.55716112E8</v>
      </c>
    </row>
    <row r="491">
      <c r="A491" s="5"/>
      <c r="B491" s="5"/>
      <c r="C491" s="5"/>
      <c r="D491" s="5"/>
    </row>
    <row r="492">
      <c r="A492" s="3" t="s">
        <v>228</v>
      </c>
      <c r="B492" s="3" t="s">
        <v>724</v>
      </c>
      <c r="C492" s="4" t="s">
        <v>725</v>
      </c>
      <c r="D492" s="3" t="s">
        <v>726</v>
      </c>
    </row>
    <row r="493">
      <c r="A493" s="5"/>
      <c r="B493" s="5"/>
      <c r="C493" s="5"/>
      <c r="D493" s="5"/>
    </row>
    <row r="494">
      <c r="A494" s="3" t="s">
        <v>401</v>
      </c>
      <c r="B494" s="3" t="s">
        <v>727</v>
      </c>
      <c r="C494" s="4" t="s">
        <v>728</v>
      </c>
      <c r="D494" s="3">
        <v>2.219601437E9</v>
      </c>
    </row>
    <row r="495">
      <c r="A495" s="5"/>
      <c r="B495" s="5"/>
      <c r="C495" s="5"/>
      <c r="D495" s="5"/>
    </row>
    <row r="496">
      <c r="A496" s="3" t="s">
        <v>729</v>
      </c>
      <c r="B496" s="3" t="s">
        <v>730</v>
      </c>
      <c r="C496" s="4" t="s">
        <v>731</v>
      </c>
      <c r="D496" s="3">
        <v>4.16399952E9</v>
      </c>
    </row>
    <row r="497">
      <c r="A497" s="5"/>
      <c r="B497" s="5"/>
      <c r="C497" s="5"/>
      <c r="D497" s="5"/>
    </row>
    <row r="498">
      <c r="A498" s="3" t="s">
        <v>732</v>
      </c>
      <c r="B498" s="3" t="s">
        <v>733</v>
      </c>
      <c r="C498" s="4" t="s">
        <v>734</v>
      </c>
      <c r="D498" s="7" t="str">
        <f>+228 92776105</f>
        <v>#ERROR!</v>
      </c>
    </row>
    <row r="499">
      <c r="A499" s="5"/>
      <c r="B499" s="5"/>
      <c r="C499" s="5"/>
      <c r="D499" s="5"/>
    </row>
    <row r="500">
      <c r="A500" s="3" t="s">
        <v>735</v>
      </c>
      <c r="B500" s="3" t="s">
        <v>736</v>
      </c>
      <c r="C500" s="4" t="s">
        <v>737</v>
      </c>
      <c r="D500" s="3">
        <v>7.76217058E8</v>
      </c>
    </row>
    <row r="501">
      <c r="A501" s="5"/>
      <c r="B501" s="5"/>
      <c r="C501" s="5"/>
      <c r="D501" s="5"/>
    </row>
    <row r="502">
      <c r="A502" s="3" t="s">
        <v>738</v>
      </c>
      <c r="B502" s="3" t="s">
        <v>739</v>
      </c>
      <c r="C502" s="4" t="s">
        <v>740</v>
      </c>
      <c r="D502" s="3">
        <v>2.3598151597E10</v>
      </c>
    </row>
    <row r="503">
      <c r="A503" s="5"/>
      <c r="B503" s="5"/>
      <c r="C503" s="5"/>
      <c r="D503" s="5"/>
    </row>
    <row r="504">
      <c r="A504" s="3" t="s">
        <v>741</v>
      </c>
      <c r="B504" s="3" t="s">
        <v>742</v>
      </c>
      <c r="C504" s="4" t="s">
        <v>743</v>
      </c>
      <c r="D504" s="7" t="str">
        <f>+220 5339782</f>
        <v>#ERROR!</v>
      </c>
    </row>
    <row r="505">
      <c r="A505" s="5"/>
      <c r="B505" s="5"/>
      <c r="C505" s="5"/>
      <c r="D505" s="5"/>
    </row>
    <row r="506">
      <c r="A506" s="3" t="s">
        <v>744</v>
      </c>
      <c r="B506" s="3" t="s">
        <v>745</v>
      </c>
      <c r="C506" s="4" t="s">
        <v>746</v>
      </c>
      <c r="D506" s="7" t="str">
        <f>+243 820244018</f>
        <v>#ERROR!</v>
      </c>
    </row>
    <row r="507">
      <c r="A507" s="5"/>
      <c r="B507" s="5"/>
      <c r="C507" s="5"/>
      <c r="D507" s="5"/>
    </row>
    <row r="508">
      <c r="A508" s="3" t="s">
        <v>747</v>
      </c>
      <c r="B508" s="3" t="s">
        <v>748</v>
      </c>
      <c r="C508" s="4" t="s">
        <v>749</v>
      </c>
      <c r="D508" s="7" t="str">
        <f>+224 629 76 68 20</f>
        <v>#ERROR!</v>
      </c>
    </row>
    <row r="509">
      <c r="A509" s="5"/>
      <c r="B509" s="5"/>
      <c r="C509" s="5"/>
      <c r="D509" s="5"/>
    </row>
    <row r="510">
      <c r="A510" s="3" t="s">
        <v>750</v>
      </c>
      <c r="B510" s="3" t="s">
        <v>185</v>
      </c>
      <c r="C510" s="4" t="s">
        <v>751</v>
      </c>
      <c r="D510" s="3">
        <v>6.8554323E7</v>
      </c>
    </row>
    <row r="511">
      <c r="A511" s="5"/>
      <c r="B511" s="5"/>
      <c r="C511" s="5"/>
      <c r="D511" s="5"/>
    </row>
    <row r="512">
      <c r="A512" s="3" t="s">
        <v>752</v>
      </c>
      <c r="B512" s="3" t="s">
        <v>753</v>
      </c>
      <c r="C512" s="4" t="s">
        <v>754</v>
      </c>
      <c r="D512" s="3" t="s">
        <v>755</v>
      </c>
    </row>
    <row r="513">
      <c r="A513" s="5"/>
      <c r="B513" s="5"/>
      <c r="C513" s="5"/>
      <c r="D513" s="5"/>
    </row>
    <row r="514">
      <c r="A514" s="3" t="s">
        <v>756</v>
      </c>
      <c r="B514" s="3" t="s">
        <v>757</v>
      </c>
      <c r="C514" s="4" t="s">
        <v>758</v>
      </c>
      <c r="D514" s="3" t="s">
        <v>759</v>
      </c>
    </row>
    <row r="515">
      <c r="A515" s="5"/>
      <c r="B515" s="5"/>
      <c r="C515" s="5"/>
      <c r="D515" s="5"/>
    </row>
    <row r="516">
      <c r="A516" s="3" t="s">
        <v>760</v>
      </c>
      <c r="B516" s="3" t="s">
        <v>761</v>
      </c>
      <c r="C516" s="4" t="s">
        <v>762</v>
      </c>
      <c r="D516" s="3">
        <v>3.4719662E8</v>
      </c>
    </row>
    <row r="517">
      <c r="A517" s="5"/>
      <c r="B517" s="5"/>
      <c r="C517" s="5"/>
      <c r="D517" s="5"/>
    </row>
    <row r="518">
      <c r="A518" s="3" t="s">
        <v>763</v>
      </c>
      <c r="B518" s="3" t="s">
        <v>764</v>
      </c>
      <c r="C518" s="4" t="s">
        <v>765</v>
      </c>
      <c r="D518" s="3">
        <v>3087377.0</v>
      </c>
    </row>
    <row r="519">
      <c r="A519" s="5"/>
      <c r="B519" s="5"/>
      <c r="C519" s="5"/>
      <c r="D519" s="5"/>
    </row>
    <row r="520">
      <c r="A520" s="3" t="s">
        <v>766</v>
      </c>
      <c r="B520" s="3" t="s">
        <v>767</v>
      </c>
      <c r="C520" s="4" t="s">
        <v>768</v>
      </c>
      <c r="D520" s="3">
        <v>2.3299275227E10</v>
      </c>
    </row>
    <row r="521">
      <c r="A521" s="5"/>
      <c r="B521" s="5"/>
      <c r="C521" s="5"/>
      <c r="D521" s="5"/>
    </row>
    <row r="522">
      <c r="A522" s="3" t="s">
        <v>769</v>
      </c>
      <c r="B522" s="3" t="s">
        <v>436</v>
      </c>
      <c r="C522" s="4" t="s">
        <v>770</v>
      </c>
      <c r="D522" s="3">
        <v>2084557.0</v>
      </c>
    </row>
    <row r="523">
      <c r="A523" s="5"/>
      <c r="B523" s="5"/>
      <c r="C523" s="5"/>
      <c r="D523" s="5"/>
    </row>
    <row r="524">
      <c r="A524" s="3" t="s">
        <v>771</v>
      </c>
      <c r="B524" s="3" t="s">
        <v>99</v>
      </c>
      <c r="C524" s="4" t="s">
        <v>772</v>
      </c>
      <c r="D524" s="6">
        <v>2.21785E11</v>
      </c>
    </row>
    <row r="525">
      <c r="A525" s="5"/>
      <c r="B525" s="5"/>
      <c r="C525" s="5"/>
      <c r="D525" s="5"/>
    </row>
    <row r="526">
      <c r="A526" s="3" t="s">
        <v>773</v>
      </c>
      <c r="B526" s="3" t="s">
        <v>774</v>
      </c>
      <c r="C526" s="3" t="s">
        <v>775</v>
      </c>
      <c r="D526" s="6">
        <v>2.61374E11</v>
      </c>
    </row>
    <row r="527">
      <c r="A527" s="5"/>
      <c r="B527" s="5"/>
      <c r="C527" s="5"/>
      <c r="D527" s="5"/>
    </row>
    <row r="528">
      <c r="A528" s="3" t="s">
        <v>228</v>
      </c>
      <c r="B528" s="3" t="s">
        <v>776</v>
      </c>
      <c r="C528" s="4" t="s">
        <v>777</v>
      </c>
      <c r="D528" s="7" t="str">
        <f>+1(221) 778-6072</f>
        <v>#ERROR!</v>
      </c>
    </row>
    <row r="529">
      <c r="A529" s="5"/>
      <c r="B529" s="5"/>
      <c r="C529" s="5"/>
      <c r="D529" s="5"/>
    </row>
    <row r="530">
      <c r="A530" s="3" t="s">
        <v>778</v>
      </c>
      <c r="B530" s="3" t="s">
        <v>779</v>
      </c>
      <c r="C530" s="4" t="s">
        <v>780</v>
      </c>
      <c r="D530" s="3">
        <v>100.0477911</v>
      </c>
    </row>
    <row r="531">
      <c r="A531" s="5"/>
      <c r="B531" s="5"/>
      <c r="C531" s="5"/>
      <c r="D531" s="5"/>
    </row>
    <row r="532">
      <c r="A532" s="3" t="s">
        <v>781</v>
      </c>
      <c r="B532" s="3" t="s">
        <v>782</v>
      </c>
      <c r="C532" s="4" t="s">
        <v>783</v>
      </c>
      <c r="D532" s="6">
        <v>2.21774E11</v>
      </c>
    </row>
    <row r="533">
      <c r="A533" s="5"/>
      <c r="B533" s="5"/>
      <c r="C533" s="5"/>
      <c r="D533" s="5"/>
    </row>
    <row r="534">
      <c r="A534" s="3" t="s">
        <v>784</v>
      </c>
      <c r="B534" s="3" t="s">
        <v>239</v>
      </c>
      <c r="C534" s="4" t="s">
        <v>785</v>
      </c>
      <c r="D534" s="3">
        <v>2.207626717E9</v>
      </c>
    </row>
    <row r="535">
      <c r="A535" s="5"/>
      <c r="B535" s="5"/>
      <c r="C535" s="5"/>
      <c r="D535" s="5"/>
    </row>
    <row r="536">
      <c r="A536" s="3" t="s">
        <v>786</v>
      </c>
      <c r="B536" s="3" t="s">
        <v>787</v>
      </c>
      <c r="C536" s="3" t="s">
        <v>788</v>
      </c>
      <c r="D536" s="3">
        <v>7.62046468E8</v>
      </c>
    </row>
    <row r="537">
      <c r="A537" s="5"/>
      <c r="B537" s="5"/>
      <c r="C537" s="5"/>
      <c r="D537" s="5"/>
    </row>
    <row r="538">
      <c r="A538" s="3" t="s">
        <v>789</v>
      </c>
      <c r="B538" s="3" t="s">
        <v>790</v>
      </c>
      <c r="C538" s="4" t="s">
        <v>791</v>
      </c>
      <c r="D538" s="3">
        <v>8.11915173E8</v>
      </c>
    </row>
    <row r="539">
      <c r="A539" s="5"/>
      <c r="B539" s="5"/>
      <c r="C539" s="5"/>
      <c r="D539" s="5"/>
    </row>
    <row r="540">
      <c r="A540" s="3" t="s">
        <v>792</v>
      </c>
      <c r="B540" s="3" t="s">
        <v>793</v>
      </c>
      <c r="C540" s="4" t="s">
        <v>794</v>
      </c>
      <c r="D540" s="3">
        <v>6.652093E7</v>
      </c>
    </row>
    <row r="541">
      <c r="A541" s="5"/>
      <c r="B541" s="5"/>
      <c r="C541" s="5"/>
      <c r="D541" s="5"/>
    </row>
    <row r="542">
      <c r="A542" s="3" t="s">
        <v>795</v>
      </c>
      <c r="B542" s="3" t="s">
        <v>796</v>
      </c>
      <c r="C542" s="4" t="s">
        <v>797</v>
      </c>
      <c r="D542" s="3" t="s">
        <v>798</v>
      </c>
    </row>
    <row r="543">
      <c r="A543" s="5"/>
      <c r="B543" s="5"/>
      <c r="C543" s="5"/>
      <c r="D543" s="5"/>
    </row>
    <row r="544">
      <c r="A544" s="3" t="s">
        <v>799</v>
      </c>
      <c r="B544" s="3" t="s">
        <v>210</v>
      </c>
      <c r="C544" s="4" t="s">
        <v>800</v>
      </c>
      <c r="D544" s="6">
        <v>2.21779E11</v>
      </c>
    </row>
    <row r="545">
      <c r="A545" s="5"/>
      <c r="B545" s="5"/>
      <c r="C545" s="5"/>
      <c r="D545" s="5"/>
    </row>
    <row r="546">
      <c r="A546" s="3" t="s">
        <v>401</v>
      </c>
      <c r="B546" s="3" t="s">
        <v>228</v>
      </c>
      <c r="C546" s="4" t="s">
        <v>801</v>
      </c>
      <c r="D546" s="3" t="s">
        <v>802</v>
      </c>
    </row>
    <row r="547">
      <c r="A547" s="5"/>
      <c r="B547" s="5"/>
      <c r="C547" s="5"/>
      <c r="D547" s="5"/>
    </row>
    <row r="548">
      <c r="A548" s="3" t="s">
        <v>803</v>
      </c>
      <c r="B548" s="3" t="s">
        <v>669</v>
      </c>
      <c r="C548" s="4" t="s">
        <v>804</v>
      </c>
      <c r="D548" s="3" t="s">
        <v>805</v>
      </c>
    </row>
    <row r="549">
      <c r="A549" s="5"/>
      <c r="B549" s="5"/>
      <c r="C549" s="5"/>
      <c r="D549" s="5"/>
    </row>
    <row r="550">
      <c r="A550" s="3" t="s">
        <v>806</v>
      </c>
      <c r="B550" s="3" t="s">
        <v>807</v>
      </c>
      <c r="C550" s="4" t="s">
        <v>808</v>
      </c>
      <c r="D550" s="7" t="str">
        <f>+355 68 567 7722</f>
        <v>#ERROR!</v>
      </c>
    </row>
    <row r="551">
      <c r="A551" s="5"/>
      <c r="B551" s="5"/>
      <c r="C551" s="5"/>
      <c r="D551" s="5"/>
    </row>
    <row r="552">
      <c r="A552" s="3" t="s">
        <v>809</v>
      </c>
      <c r="B552" s="3" t="s">
        <v>810</v>
      </c>
      <c r="C552" s="4" t="s">
        <v>811</v>
      </c>
      <c r="D552" s="3">
        <v>9.9040183E7</v>
      </c>
    </row>
    <row r="553">
      <c r="A553" s="5"/>
      <c r="B553" s="5"/>
      <c r="C553" s="5"/>
      <c r="D553" s="5"/>
    </row>
    <row r="554">
      <c r="A554" s="3" t="s">
        <v>74</v>
      </c>
      <c r="B554" s="3" t="s">
        <v>812</v>
      </c>
      <c r="C554" s="4" t="s">
        <v>813</v>
      </c>
      <c r="D554" s="6">
        <v>2.31881E11</v>
      </c>
    </row>
    <row r="555">
      <c r="A555" s="5"/>
      <c r="B555" s="5"/>
      <c r="C555" s="5"/>
      <c r="D555" s="5"/>
    </row>
    <row r="556">
      <c r="A556" s="3" t="s">
        <v>814</v>
      </c>
      <c r="B556" s="3" t="s">
        <v>815</v>
      </c>
      <c r="C556" s="4" t="s">
        <v>816</v>
      </c>
      <c r="D556" s="3">
        <v>2.5761423454E10</v>
      </c>
    </row>
    <row r="557">
      <c r="A557" s="5"/>
      <c r="B557" s="5"/>
      <c r="C557" s="5"/>
      <c r="D557" s="5"/>
    </row>
    <row r="558">
      <c r="A558" s="3" t="s">
        <v>817</v>
      </c>
      <c r="B558" s="3" t="s">
        <v>818</v>
      </c>
      <c r="C558" s="4" t="s">
        <v>819</v>
      </c>
      <c r="D558" s="3">
        <v>2.3565707834E10</v>
      </c>
    </row>
    <row r="559">
      <c r="A559" s="5"/>
      <c r="B559" s="5"/>
      <c r="C559" s="5"/>
      <c r="D559" s="5"/>
    </row>
    <row r="560">
      <c r="A560" s="3" t="s">
        <v>820</v>
      </c>
      <c r="B560" s="3" t="s">
        <v>821</v>
      </c>
      <c r="C560" s="4" t="s">
        <v>822</v>
      </c>
      <c r="D560" s="6">
        <v>2.24611E11</v>
      </c>
    </row>
    <row r="561">
      <c r="A561" s="5"/>
      <c r="B561" s="5"/>
      <c r="C561" s="5"/>
      <c r="D561" s="5"/>
    </row>
    <row r="562">
      <c r="A562" s="3" t="s">
        <v>823</v>
      </c>
      <c r="B562" s="3" t="s">
        <v>824</v>
      </c>
      <c r="C562" s="3" t="s">
        <v>825</v>
      </c>
      <c r="D562" s="3">
        <v>9.6610715E7</v>
      </c>
    </row>
    <row r="563">
      <c r="A563" s="5"/>
      <c r="B563" s="5"/>
      <c r="C563" s="5"/>
      <c r="D563" s="5"/>
    </row>
    <row r="564">
      <c r="A564" s="3" t="s">
        <v>181</v>
      </c>
      <c r="B564" s="3" t="s">
        <v>239</v>
      </c>
      <c r="C564" s="4" t="s">
        <v>826</v>
      </c>
      <c r="D564" s="3">
        <v>2.246287748E9</v>
      </c>
    </row>
    <row r="565">
      <c r="A565" s="5"/>
      <c r="B565" s="5"/>
      <c r="C565" s="5"/>
      <c r="D565" s="5"/>
    </row>
    <row r="566">
      <c r="A566" s="3" t="s">
        <v>827</v>
      </c>
      <c r="B566" s="3" t="s">
        <v>828</v>
      </c>
      <c r="C566" s="4" t="s">
        <v>829</v>
      </c>
      <c r="D566" s="3">
        <v>6.3718202E7</v>
      </c>
    </row>
    <row r="567">
      <c r="A567" s="5"/>
      <c r="B567" s="5"/>
      <c r="C567" s="5"/>
      <c r="D567" s="5"/>
    </row>
    <row r="568">
      <c r="A568" s="3" t="s">
        <v>830</v>
      </c>
      <c r="B568" s="3" t="s">
        <v>150</v>
      </c>
      <c r="C568" s="4" t="s">
        <v>831</v>
      </c>
      <c r="D568" s="6">
        <v>2.24624E11</v>
      </c>
    </row>
    <row r="569">
      <c r="A569" s="5"/>
      <c r="B569" s="5"/>
      <c r="C569" s="5"/>
      <c r="D569" s="5"/>
    </row>
    <row r="570">
      <c r="A570" s="3" t="s">
        <v>832</v>
      </c>
      <c r="B570" s="3" t="s">
        <v>833</v>
      </c>
      <c r="C570" s="4" t="s">
        <v>834</v>
      </c>
      <c r="D570" s="6">
        <v>2.45956E11</v>
      </c>
    </row>
    <row r="571">
      <c r="A571" s="5"/>
      <c r="B571" s="5"/>
      <c r="C571" s="5"/>
      <c r="D571" s="5"/>
    </row>
    <row r="572">
      <c r="A572" s="3" t="s">
        <v>835</v>
      </c>
      <c r="B572" s="3" t="s">
        <v>133</v>
      </c>
      <c r="C572" s="4" t="s">
        <v>836</v>
      </c>
      <c r="D572" s="3">
        <v>7.75058199E8</v>
      </c>
    </row>
    <row r="573">
      <c r="A573" s="5"/>
      <c r="B573" s="5"/>
      <c r="C573" s="5"/>
      <c r="D573" s="5"/>
    </row>
    <row r="574">
      <c r="A574" s="3" t="s">
        <v>228</v>
      </c>
      <c r="B574" s="3" t="s">
        <v>837</v>
      </c>
      <c r="C574" s="4" t="s">
        <v>838</v>
      </c>
      <c r="D574" s="6">
        <v>2.24611E11</v>
      </c>
    </row>
    <row r="575">
      <c r="A575" s="5"/>
      <c r="B575" s="5"/>
      <c r="C575" s="5"/>
      <c r="D575" s="5"/>
    </row>
    <row r="576">
      <c r="A576" s="3" t="s">
        <v>839</v>
      </c>
      <c r="B576" s="3" t="s">
        <v>840</v>
      </c>
      <c r="C576" s="4" t="s">
        <v>841</v>
      </c>
      <c r="D576" s="6">
        <v>2.43977E11</v>
      </c>
    </row>
    <row r="577">
      <c r="A577" s="5"/>
      <c r="B577" s="5"/>
      <c r="C577" s="5"/>
      <c r="D577" s="5"/>
    </row>
    <row r="578">
      <c r="A578" s="3" t="s">
        <v>842</v>
      </c>
      <c r="B578" s="3" t="s">
        <v>843</v>
      </c>
      <c r="C578" s="4" t="s">
        <v>844</v>
      </c>
      <c r="D578" s="7" t="str">
        <f>+243990 195 675</f>
        <v>#ERROR!</v>
      </c>
    </row>
    <row r="579">
      <c r="A579" s="5"/>
      <c r="B579" s="5"/>
      <c r="C579" s="5"/>
      <c r="D579" s="5"/>
    </row>
    <row r="580">
      <c r="A580" s="3" t="s">
        <v>845</v>
      </c>
      <c r="B580" s="3" t="s">
        <v>846</v>
      </c>
      <c r="C580" s="4" t="s">
        <v>847</v>
      </c>
      <c r="D580" s="3">
        <v>6.26233194E8</v>
      </c>
    </row>
    <row r="581">
      <c r="A581" s="5"/>
      <c r="B581" s="5"/>
      <c r="C581" s="5"/>
      <c r="D581" s="5"/>
    </row>
    <row r="582">
      <c r="A582" s="3" t="s">
        <v>848</v>
      </c>
      <c r="B582" s="3" t="s">
        <v>849</v>
      </c>
      <c r="C582" s="4" t="s">
        <v>850</v>
      </c>
      <c r="D582" s="6">
        <v>2.43828E11</v>
      </c>
    </row>
    <row r="583">
      <c r="A583" s="5"/>
      <c r="B583" s="5"/>
      <c r="C583" s="5"/>
      <c r="D583" s="5"/>
    </row>
    <row r="584">
      <c r="A584" s="3" t="s">
        <v>851</v>
      </c>
      <c r="B584" s="3" t="s">
        <v>852</v>
      </c>
      <c r="C584" s="4" t="s">
        <v>853</v>
      </c>
      <c r="D584" s="3" t="s">
        <v>854</v>
      </c>
    </row>
    <row r="585">
      <c r="A585" s="5"/>
      <c r="B585" s="5"/>
      <c r="C585" s="5"/>
      <c r="D585" s="5"/>
    </row>
    <row r="586">
      <c r="A586" s="3" t="s">
        <v>855</v>
      </c>
      <c r="B586" s="3" t="s">
        <v>228</v>
      </c>
      <c r="C586" s="3" t="s">
        <v>856</v>
      </c>
      <c r="D586" s="6">
        <v>2.24628E11</v>
      </c>
    </row>
    <row r="587">
      <c r="A587" s="5"/>
      <c r="B587" s="5"/>
      <c r="C587" s="5"/>
      <c r="D587" s="5"/>
    </row>
    <row r="588">
      <c r="A588" s="3" t="s">
        <v>857</v>
      </c>
      <c r="B588" s="3" t="s">
        <v>858</v>
      </c>
      <c r="C588" s="3" t="s">
        <v>859</v>
      </c>
      <c r="D588" s="3">
        <v>9.85775444E8</v>
      </c>
    </row>
    <row r="589">
      <c r="A589" s="5"/>
      <c r="B589" s="5"/>
      <c r="C589" s="5"/>
      <c r="D589" s="5"/>
    </row>
    <row r="590">
      <c r="A590" s="3" t="s">
        <v>99</v>
      </c>
      <c r="B590" s="3" t="s">
        <v>535</v>
      </c>
      <c r="C590" s="4" t="s">
        <v>860</v>
      </c>
      <c r="D590" s="6">
        <v>2.24622E11</v>
      </c>
    </row>
    <row r="591">
      <c r="A591" s="5"/>
      <c r="B591" s="5"/>
      <c r="C591" s="5"/>
      <c r="D591" s="5"/>
    </row>
    <row r="592">
      <c r="A592" s="3" t="s">
        <v>861</v>
      </c>
      <c r="B592" s="3" t="s">
        <v>862</v>
      </c>
      <c r="C592" s="3" t="s">
        <v>863</v>
      </c>
      <c r="D592" s="7" t="str">
        <f>+241.77672132//60352567</f>
        <v>#ERROR!</v>
      </c>
    </row>
    <row r="593">
      <c r="A593" s="5"/>
      <c r="B593" s="5"/>
      <c r="C593" s="5"/>
      <c r="D593" s="5"/>
    </row>
    <row r="594">
      <c r="A594" s="3" t="s">
        <v>864</v>
      </c>
      <c r="B594" s="3" t="s">
        <v>508</v>
      </c>
      <c r="C594" s="4" t="s">
        <v>865</v>
      </c>
      <c r="D594" s="3" t="s">
        <v>866</v>
      </c>
    </row>
    <row r="595">
      <c r="A595" s="5"/>
      <c r="B595" s="5"/>
      <c r="C595" s="5"/>
      <c r="D595" s="5"/>
    </row>
    <row r="596">
      <c r="A596" s="3" t="s">
        <v>867</v>
      </c>
      <c r="B596" s="3" t="s">
        <v>867</v>
      </c>
      <c r="C596" s="4" t="s">
        <v>868</v>
      </c>
      <c r="D596" s="3" t="s">
        <v>869</v>
      </c>
    </row>
    <row r="597">
      <c r="A597" s="5"/>
      <c r="B597" s="5"/>
      <c r="C597" s="5"/>
      <c r="D597" s="5"/>
    </row>
    <row r="598">
      <c r="A598" s="3" t="s">
        <v>870</v>
      </c>
      <c r="B598" s="3" t="s">
        <v>871</v>
      </c>
      <c r="C598" s="4" t="s">
        <v>872</v>
      </c>
      <c r="D598" s="3">
        <v>6.472189391E9</v>
      </c>
    </row>
    <row r="599">
      <c r="A599" s="5"/>
      <c r="B599" s="5"/>
      <c r="C599" s="5"/>
      <c r="D599" s="5"/>
    </row>
    <row r="600">
      <c r="A600" s="3" t="s">
        <v>873</v>
      </c>
      <c r="B600" s="3" t="s">
        <v>874</v>
      </c>
      <c r="C600" s="4" t="s">
        <v>875</v>
      </c>
      <c r="D600" s="3" t="s">
        <v>876</v>
      </c>
    </row>
    <row r="601">
      <c r="A601" s="5"/>
      <c r="B601" s="5"/>
      <c r="C601" s="5"/>
      <c r="D601" s="5"/>
    </row>
    <row r="602">
      <c r="A602" s="3" t="s">
        <v>877</v>
      </c>
      <c r="B602" s="3" t="s">
        <v>878</v>
      </c>
      <c r="C602" s="4" t="s">
        <v>879</v>
      </c>
      <c r="D602" s="3">
        <v>4.167075686E9</v>
      </c>
    </row>
    <row r="603">
      <c r="A603" s="5"/>
      <c r="B603" s="5"/>
      <c r="C603" s="5"/>
      <c r="D603" s="5"/>
    </row>
    <row r="604">
      <c r="A604" s="3" t="s">
        <v>880</v>
      </c>
      <c r="B604" s="3" t="s">
        <v>881</v>
      </c>
      <c r="C604" s="4" t="s">
        <v>882</v>
      </c>
      <c r="D604" s="3" t="s">
        <v>883</v>
      </c>
    </row>
    <row r="605">
      <c r="A605" s="5"/>
      <c r="B605" s="5"/>
      <c r="C605" s="5"/>
      <c r="D605" s="5"/>
    </row>
    <row r="606">
      <c r="A606" s="3" t="s">
        <v>884</v>
      </c>
      <c r="B606" s="3" t="s">
        <v>885</v>
      </c>
      <c r="C606" s="4" t="s">
        <v>886</v>
      </c>
      <c r="D606" s="3">
        <v>1.4167883428E10</v>
      </c>
    </row>
    <row r="607">
      <c r="A607" s="5"/>
      <c r="B607" s="5"/>
      <c r="C607" s="5"/>
      <c r="D607" s="5"/>
    </row>
    <row r="608">
      <c r="A608" s="3" t="s">
        <v>363</v>
      </c>
      <c r="B608" s="3" t="s">
        <v>887</v>
      </c>
      <c r="C608" s="4" t="s">
        <v>888</v>
      </c>
      <c r="D608" s="3">
        <v>6.47704129E9</v>
      </c>
    </row>
    <row r="609">
      <c r="A609" s="5"/>
      <c r="B609" s="5"/>
      <c r="C609" s="5"/>
      <c r="D609" s="5"/>
    </row>
    <row r="610">
      <c r="A610" s="3" t="s">
        <v>889</v>
      </c>
      <c r="B610" s="3" t="s">
        <v>29</v>
      </c>
      <c r="C610" s="4" t="s">
        <v>890</v>
      </c>
      <c r="D610" s="3" t="s">
        <v>891</v>
      </c>
    </row>
    <row r="611">
      <c r="A611" s="5"/>
      <c r="B611" s="5"/>
      <c r="C611" s="5"/>
      <c r="D611" s="5"/>
    </row>
    <row r="612">
      <c r="A612" s="3" t="s">
        <v>892</v>
      </c>
      <c r="B612" s="3" t="s">
        <v>893</v>
      </c>
      <c r="C612" s="4" t="s">
        <v>894</v>
      </c>
      <c r="D612" s="3">
        <v>2.897726202E9</v>
      </c>
    </row>
    <row r="613">
      <c r="A613" s="5"/>
      <c r="B613" s="5"/>
      <c r="C613" s="5"/>
      <c r="D613" s="5"/>
    </row>
    <row r="614">
      <c r="A614" s="3" t="s">
        <v>895</v>
      </c>
      <c r="B614" s="3" t="s">
        <v>896</v>
      </c>
      <c r="C614" s="4" t="s">
        <v>897</v>
      </c>
      <c r="D614" s="3">
        <v>4.169384399E9</v>
      </c>
    </row>
    <row r="615">
      <c r="A615" s="5"/>
      <c r="B615" s="5"/>
      <c r="C615" s="5"/>
      <c r="D615" s="5"/>
    </row>
    <row r="616">
      <c r="A616" s="3" t="s">
        <v>898</v>
      </c>
      <c r="B616" s="3" t="s">
        <v>899</v>
      </c>
      <c r="C616" s="4" t="s">
        <v>900</v>
      </c>
      <c r="D616" s="3" t="s">
        <v>901</v>
      </c>
    </row>
    <row r="617">
      <c r="A617" s="5"/>
      <c r="B617" s="5"/>
      <c r="C617" s="5"/>
      <c r="D617" s="5"/>
    </row>
    <row r="618">
      <c r="A618" s="3" t="s">
        <v>902</v>
      </c>
      <c r="B618" s="3" t="s">
        <v>903</v>
      </c>
      <c r="C618" s="4" t="s">
        <v>904</v>
      </c>
      <c r="D618" s="3">
        <v>6.479713535E9</v>
      </c>
    </row>
    <row r="619">
      <c r="A619" s="5"/>
      <c r="B619" s="5"/>
      <c r="C619" s="5"/>
      <c r="D619" s="5"/>
    </row>
    <row r="620">
      <c r="A620" s="3" t="s">
        <v>905</v>
      </c>
      <c r="B620" s="3" t="s">
        <v>906</v>
      </c>
      <c r="C620" s="4" t="s">
        <v>907</v>
      </c>
      <c r="D620" s="3">
        <v>4.168343997E9</v>
      </c>
    </row>
    <row r="621">
      <c r="A621" s="5"/>
      <c r="B621" s="5"/>
      <c r="C621" s="5"/>
      <c r="D621" s="5"/>
    </row>
    <row r="622">
      <c r="A622" s="3" t="s">
        <v>908</v>
      </c>
      <c r="B622" s="3" t="s">
        <v>909</v>
      </c>
      <c r="C622" s="4" t="s">
        <v>910</v>
      </c>
      <c r="D622" s="3">
        <v>2.899962253E9</v>
      </c>
    </row>
    <row r="623">
      <c r="A623" s="5"/>
      <c r="B623" s="5"/>
      <c r="C623" s="5"/>
      <c r="D623" s="5"/>
    </row>
    <row r="624">
      <c r="A624" s="3" t="s">
        <v>911</v>
      </c>
      <c r="B624" s="3" t="s">
        <v>753</v>
      </c>
      <c r="C624" s="4" t="s">
        <v>912</v>
      </c>
      <c r="D624" s="3" t="s">
        <v>913</v>
      </c>
    </row>
    <row r="625">
      <c r="A625" s="5"/>
      <c r="B625" s="5"/>
      <c r="C625" s="5"/>
      <c r="D625" s="5"/>
    </row>
    <row r="626">
      <c r="A626" s="3" t="s">
        <v>914</v>
      </c>
      <c r="B626" s="3" t="s">
        <v>915</v>
      </c>
      <c r="C626" s="4" t="s">
        <v>916</v>
      </c>
      <c r="D626" s="3">
        <v>4.168563608E9</v>
      </c>
    </row>
    <row r="627">
      <c r="A627" s="5"/>
      <c r="B627" s="5"/>
      <c r="C627" s="5"/>
      <c r="D627" s="5"/>
    </row>
    <row r="628">
      <c r="A628" s="3" t="s">
        <v>917</v>
      </c>
      <c r="B628" s="3" t="s">
        <v>918</v>
      </c>
      <c r="C628" s="4" t="s">
        <v>919</v>
      </c>
      <c r="D628" s="3">
        <v>4.163889243E9</v>
      </c>
    </row>
    <row r="629">
      <c r="A629" s="5"/>
      <c r="B629" s="5"/>
      <c r="C629" s="5"/>
      <c r="D629" s="5"/>
    </row>
    <row r="630">
      <c r="A630" s="3" t="s">
        <v>920</v>
      </c>
      <c r="B630" s="3" t="s">
        <v>921</v>
      </c>
      <c r="C630" s="4" t="s">
        <v>922</v>
      </c>
      <c r="D630" s="3">
        <v>6.478259585E9</v>
      </c>
    </row>
    <row r="631">
      <c r="A631" s="5"/>
      <c r="B631" s="5"/>
      <c r="C631" s="5"/>
      <c r="D631" s="5"/>
    </row>
    <row r="632">
      <c r="A632" s="3" t="s">
        <v>923</v>
      </c>
      <c r="B632" s="3" t="s">
        <v>924</v>
      </c>
      <c r="C632" s="4" t="s">
        <v>925</v>
      </c>
      <c r="D632" s="3">
        <v>4.16799505E9</v>
      </c>
    </row>
    <row r="633">
      <c r="A633" s="5"/>
      <c r="B633" s="5"/>
      <c r="C633" s="5"/>
      <c r="D633" s="5"/>
    </row>
    <row r="634">
      <c r="A634" s="3" t="s">
        <v>926</v>
      </c>
      <c r="B634" s="3" t="s">
        <v>927</v>
      </c>
      <c r="C634" s="4" t="s">
        <v>928</v>
      </c>
      <c r="D634" s="3" t="s">
        <v>929</v>
      </c>
    </row>
    <row r="635">
      <c r="A635" s="5"/>
      <c r="B635" s="5"/>
      <c r="C635" s="5"/>
      <c r="D635" s="5"/>
    </row>
    <row r="636">
      <c r="A636" s="3" t="s">
        <v>930</v>
      </c>
      <c r="B636" s="3" t="s">
        <v>931</v>
      </c>
      <c r="C636" s="4" t="s">
        <v>932</v>
      </c>
      <c r="D636" s="3">
        <v>6.475155761E9</v>
      </c>
    </row>
    <row r="637">
      <c r="A637" s="5"/>
      <c r="B637" s="5"/>
      <c r="C637" s="5"/>
      <c r="D637" s="5"/>
    </row>
    <row r="638">
      <c r="A638" s="3" t="s">
        <v>933</v>
      </c>
      <c r="B638" s="3" t="s">
        <v>934</v>
      </c>
      <c r="C638" s="4" t="s">
        <v>935</v>
      </c>
      <c r="D638" s="3">
        <v>2.892405702E9</v>
      </c>
    </row>
    <row r="639">
      <c r="A639" s="5"/>
      <c r="B639" s="5"/>
      <c r="C639" s="5"/>
      <c r="D639" s="5"/>
    </row>
    <row r="640">
      <c r="A640" s="3" t="s">
        <v>936</v>
      </c>
      <c r="B640" s="3" t="s">
        <v>937</v>
      </c>
      <c r="C640" s="4" t="s">
        <v>938</v>
      </c>
      <c r="D640" s="3">
        <v>6.476379919E9</v>
      </c>
    </row>
    <row r="641">
      <c r="A641" s="5"/>
      <c r="B641" s="5"/>
      <c r="C641" s="5"/>
      <c r="D641" s="5"/>
    </row>
    <row r="642">
      <c r="A642" s="3" t="s">
        <v>939</v>
      </c>
      <c r="B642" s="3" t="s">
        <v>940</v>
      </c>
      <c r="C642" s="4" t="s">
        <v>941</v>
      </c>
      <c r="D642" s="3">
        <v>9.056551054E9</v>
      </c>
    </row>
    <row r="643">
      <c r="A643" s="5"/>
      <c r="B643" s="5"/>
      <c r="C643" s="5"/>
      <c r="D643" s="5"/>
    </row>
    <row r="644">
      <c r="A644" s="3" t="s">
        <v>942</v>
      </c>
      <c r="B644" s="3" t="s">
        <v>943</v>
      </c>
      <c r="C644" s="4" t="s">
        <v>944</v>
      </c>
      <c r="D644" s="3" t="s">
        <v>945</v>
      </c>
    </row>
    <row r="645">
      <c r="A645" s="5"/>
      <c r="B645" s="5"/>
      <c r="C645" s="5"/>
      <c r="D645" s="5"/>
    </row>
    <row r="646">
      <c r="A646" s="3" t="s">
        <v>946</v>
      </c>
      <c r="B646" s="3" t="s">
        <v>947</v>
      </c>
      <c r="C646" s="4" t="s">
        <v>948</v>
      </c>
      <c r="D646" s="3">
        <v>9.054252666E9</v>
      </c>
    </row>
    <row r="647">
      <c r="A647" s="5"/>
      <c r="B647" s="5"/>
      <c r="C647" s="5"/>
      <c r="D647" s="5"/>
    </row>
    <row r="648">
      <c r="A648" s="3" t="s">
        <v>269</v>
      </c>
      <c r="B648" s="3" t="s">
        <v>949</v>
      </c>
      <c r="C648" s="4" t="s">
        <v>950</v>
      </c>
      <c r="D648" s="3" t="s">
        <v>951</v>
      </c>
    </row>
    <row r="649">
      <c r="A649" s="5"/>
      <c r="B649" s="5"/>
      <c r="C649" s="5"/>
      <c r="D649" s="5"/>
    </row>
    <row r="650">
      <c r="A650" s="3" t="s">
        <v>952</v>
      </c>
      <c r="B650" s="3" t="s">
        <v>953</v>
      </c>
      <c r="C650" s="4" t="s">
        <v>954</v>
      </c>
      <c r="D650" s="3">
        <v>6.477813503E9</v>
      </c>
    </row>
    <row r="651">
      <c r="A651" s="5"/>
      <c r="B651" s="5"/>
      <c r="C651" s="5"/>
      <c r="D651" s="5"/>
    </row>
    <row r="652">
      <c r="A652" s="3" t="s">
        <v>4</v>
      </c>
      <c r="B652" s="3" t="s">
        <v>955</v>
      </c>
      <c r="C652" s="4" t="s">
        <v>956</v>
      </c>
      <c r="D652" s="3">
        <v>4.168394933E9</v>
      </c>
    </row>
    <row r="653">
      <c r="A653" s="5"/>
      <c r="B653" s="5"/>
      <c r="C653" s="5"/>
      <c r="D653" s="5"/>
    </row>
    <row r="654">
      <c r="A654" s="3" t="s">
        <v>957</v>
      </c>
      <c r="B654" s="3" t="s">
        <v>66</v>
      </c>
      <c r="C654" s="4" t="s">
        <v>958</v>
      </c>
      <c r="D654" s="3">
        <v>6.47612805E9</v>
      </c>
    </row>
    <row r="655">
      <c r="A655" s="5"/>
      <c r="B655" s="5"/>
      <c r="C655" s="5"/>
      <c r="D655" s="5"/>
    </row>
    <row r="656">
      <c r="A656" s="3" t="s">
        <v>959</v>
      </c>
      <c r="B656" s="3" t="s">
        <v>960</v>
      </c>
      <c r="C656" s="4" t="s">
        <v>961</v>
      </c>
      <c r="D656" s="3">
        <v>4.168994796E9</v>
      </c>
    </row>
    <row r="657">
      <c r="A657" s="5"/>
      <c r="B657" s="5"/>
      <c r="C657" s="5"/>
      <c r="D657" s="5"/>
    </row>
    <row r="658">
      <c r="A658" s="3" t="s">
        <v>962</v>
      </c>
      <c r="B658" s="3" t="s">
        <v>963</v>
      </c>
      <c r="C658" s="4" t="s">
        <v>964</v>
      </c>
      <c r="D658" s="3">
        <v>6.478251143E9</v>
      </c>
    </row>
    <row r="659">
      <c r="A659" s="5"/>
      <c r="B659" s="5"/>
      <c r="C659" s="5"/>
      <c r="D659" s="5"/>
    </row>
    <row r="660">
      <c r="A660" s="3" t="s">
        <v>965</v>
      </c>
      <c r="B660" s="3" t="s">
        <v>966</v>
      </c>
      <c r="C660" s="4" t="s">
        <v>967</v>
      </c>
      <c r="D660" s="3">
        <v>6.476860903E9</v>
      </c>
    </row>
    <row r="661">
      <c r="A661" s="5"/>
      <c r="B661" s="5"/>
      <c r="C661" s="5"/>
      <c r="D661" s="5"/>
    </row>
    <row r="662">
      <c r="A662" s="3" t="s">
        <v>968</v>
      </c>
      <c r="B662" s="3" t="s">
        <v>969</v>
      </c>
      <c r="C662" s="4" t="s">
        <v>970</v>
      </c>
      <c r="D662" s="3">
        <v>6.478800762E9</v>
      </c>
    </row>
    <row r="663">
      <c r="A663" s="5"/>
      <c r="B663" s="5"/>
      <c r="C663" s="5"/>
      <c r="D663" s="5"/>
    </row>
    <row r="664">
      <c r="A664" s="3" t="s">
        <v>971</v>
      </c>
      <c r="B664" s="3" t="s">
        <v>972</v>
      </c>
      <c r="C664" s="4" t="s">
        <v>973</v>
      </c>
      <c r="D664" s="3">
        <v>9.053991083E9</v>
      </c>
    </row>
    <row r="665">
      <c r="A665" s="5"/>
      <c r="B665" s="5"/>
      <c r="C665" s="5"/>
      <c r="D665" s="5"/>
    </row>
    <row r="666">
      <c r="A666" s="3" t="s">
        <v>974</v>
      </c>
      <c r="B666" s="3" t="s">
        <v>975</v>
      </c>
      <c r="C666" s="4" t="s">
        <v>976</v>
      </c>
      <c r="D666" s="3">
        <v>6.476942305E9</v>
      </c>
    </row>
    <row r="667">
      <c r="A667" s="5"/>
      <c r="B667" s="5"/>
      <c r="C667" s="5"/>
      <c r="D667" s="5"/>
    </row>
    <row r="668">
      <c r="A668" s="3" t="s">
        <v>977</v>
      </c>
      <c r="B668" s="3" t="s">
        <v>978</v>
      </c>
      <c r="C668" s="4" t="s">
        <v>979</v>
      </c>
      <c r="D668" s="3">
        <v>6.478017035E9</v>
      </c>
    </row>
    <row r="669">
      <c r="A669" s="5"/>
      <c r="B669" s="5"/>
      <c r="C669" s="5"/>
      <c r="D669" s="5"/>
    </row>
    <row r="670">
      <c r="A670" s="3" t="s">
        <v>980</v>
      </c>
      <c r="B670" s="3" t="s">
        <v>981</v>
      </c>
      <c r="C670" s="4" t="s">
        <v>982</v>
      </c>
      <c r="D670" s="3" t="s">
        <v>983</v>
      </c>
    </row>
    <row r="671">
      <c r="A671" s="5"/>
      <c r="B671" s="5"/>
      <c r="C671" s="5"/>
      <c r="D671" s="5"/>
    </row>
    <row r="672">
      <c r="A672" s="3" t="s">
        <v>984</v>
      </c>
      <c r="B672" s="3" t="s">
        <v>985</v>
      </c>
      <c r="C672" s="4" t="s">
        <v>986</v>
      </c>
      <c r="D672" s="3">
        <v>3.65662202E9</v>
      </c>
    </row>
    <row r="673">
      <c r="A673" s="5"/>
      <c r="B673" s="5"/>
      <c r="C673" s="5"/>
      <c r="D673" s="5"/>
    </row>
    <row r="674">
      <c r="A674" s="3" t="s">
        <v>926</v>
      </c>
      <c r="B674" s="3" t="s">
        <v>987</v>
      </c>
      <c r="C674" s="4" t="s">
        <v>988</v>
      </c>
      <c r="D674" s="3">
        <v>4.166182623E9</v>
      </c>
    </row>
    <row r="675">
      <c r="A675" s="5"/>
      <c r="B675" s="5"/>
      <c r="C675" s="5"/>
      <c r="D675" s="5"/>
    </row>
    <row r="676">
      <c r="A676" s="3" t="s">
        <v>989</v>
      </c>
      <c r="B676" s="3" t="s">
        <v>990</v>
      </c>
      <c r="C676" s="4" t="s">
        <v>991</v>
      </c>
      <c r="D676" s="3">
        <v>4.163024173E9</v>
      </c>
    </row>
    <row r="677">
      <c r="A677" s="5"/>
      <c r="B677" s="5"/>
      <c r="C677" s="5"/>
      <c r="D677" s="5"/>
    </row>
    <row r="678">
      <c r="A678" s="3" t="s">
        <v>992</v>
      </c>
      <c r="B678" s="3" t="s">
        <v>993</v>
      </c>
      <c r="C678" s="4" t="s">
        <v>994</v>
      </c>
      <c r="D678" s="3">
        <v>4.1684595E9</v>
      </c>
    </row>
    <row r="679">
      <c r="A679" s="5"/>
      <c r="B679" s="5"/>
      <c r="C679" s="5"/>
      <c r="D679" s="5"/>
    </row>
    <row r="680">
      <c r="A680" s="3" t="s">
        <v>995</v>
      </c>
      <c r="B680" s="3" t="s">
        <v>996</v>
      </c>
      <c r="C680" s="4" t="s">
        <v>997</v>
      </c>
      <c r="D680" s="3" t="s">
        <v>998</v>
      </c>
    </row>
    <row r="681">
      <c r="A681" s="5"/>
      <c r="B681" s="5"/>
      <c r="C681" s="5"/>
      <c r="D681" s="5"/>
    </row>
    <row r="682">
      <c r="A682" s="3" t="s">
        <v>999</v>
      </c>
      <c r="B682" s="3" t="s">
        <v>1000</v>
      </c>
      <c r="C682" s="4" t="s">
        <v>1001</v>
      </c>
      <c r="D682" s="3">
        <v>4.165271769E9</v>
      </c>
    </row>
    <row r="683">
      <c r="A683" s="5"/>
      <c r="B683" s="5"/>
      <c r="C683" s="5"/>
      <c r="D683" s="5"/>
    </row>
    <row r="684">
      <c r="A684" s="3" t="s">
        <v>557</v>
      </c>
      <c r="B684" s="3" t="s">
        <v>1002</v>
      </c>
      <c r="C684" s="4" t="s">
        <v>1003</v>
      </c>
      <c r="D684" s="3" t="s">
        <v>1004</v>
      </c>
    </row>
    <row r="685">
      <c r="A685" s="5"/>
      <c r="B685" s="5"/>
      <c r="C685" s="5"/>
      <c r="D685" s="5"/>
    </row>
    <row r="686">
      <c r="A686" s="3" t="s">
        <v>1005</v>
      </c>
      <c r="B686" s="3" t="s">
        <v>1006</v>
      </c>
      <c r="C686" s="4" t="s">
        <v>1007</v>
      </c>
      <c r="D686" s="3" t="s">
        <v>1008</v>
      </c>
    </row>
    <row r="687">
      <c r="A687" s="5"/>
      <c r="B687" s="5"/>
      <c r="C687" s="5"/>
      <c r="D687" s="5"/>
    </row>
    <row r="688">
      <c r="A688" s="3" t="s">
        <v>1009</v>
      </c>
      <c r="B688" s="3" t="s">
        <v>1010</v>
      </c>
      <c r="C688" s="4" t="s">
        <v>1011</v>
      </c>
      <c r="D688" s="3" t="s">
        <v>1012</v>
      </c>
    </row>
    <row r="689">
      <c r="A689" s="5"/>
      <c r="B689" s="5"/>
      <c r="C689" s="5"/>
      <c r="D689" s="5"/>
    </row>
    <row r="690">
      <c r="A690" s="3" t="s">
        <v>1013</v>
      </c>
      <c r="B690" s="3" t="s">
        <v>1014</v>
      </c>
      <c r="C690" s="4" t="s">
        <v>1015</v>
      </c>
      <c r="D690" s="3" t="s">
        <v>1016</v>
      </c>
    </row>
    <row r="691">
      <c r="A691" s="5"/>
      <c r="B691" s="5"/>
      <c r="C691" s="5"/>
      <c r="D691" s="5"/>
    </row>
    <row r="692">
      <c r="A692" s="3" t="s">
        <v>1017</v>
      </c>
      <c r="B692" s="3" t="s">
        <v>1018</v>
      </c>
      <c r="C692" s="4" t="s">
        <v>1019</v>
      </c>
      <c r="D692" s="3">
        <v>2.04962791E9</v>
      </c>
    </row>
    <row r="693">
      <c r="A693" s="5"/>
      <c r="B693" s="5"/>
      <c r="C693" s="5"/>
      <c r="D693" s="5"/>
    </row>
    <row r="694">
      <c r="A694" s="3" t="s">
        <v>1020</v>
      </c>
      <c r="B694" s="3" t="s">
        <v>1021</v>
      </c>
      <c r="C694" s="4" t="s">
        <v>1022</v>
      </c>
      <c r="D694" s="3">
        <v>6.477105922E9</v>
      </c>
    </row>
    <row r="695">
      <c r="A695" s="5"/>
      <c r="B695" s="5"/>
      <c r="C695" s="5"/>
      <c r="D695" s="5"/>
    </row>
    <row r="696">
      <c r="A696" s="3" t="s">
        <v>1023</v>
      </c>
      <c r="B696" s="3" t="s">
        <v>1024</v>
      </c>
      <c r="C696" s="4" t="s">
        <v>1025</v>
      </c>
      <c r="D696" s="3">
        <v>4.166173215E9</v>
      </c>
    </row>
    <row r="697">
      <c r="A697" s="5"/>
      <c r="B697" s="5"/>
      <c r="C697" s="5"/>
      <c r="D697" s="5"/>
    </row>
    <row r="698">
      <c r="A698" s="3" t="s">
        <v>1026</v>
      </c>
      <c r="B698" s="3" t="s">
        <v>1027</v>
      </c>
      <c r="C698" s="4" t="s">
        <v>1028</v>
      </c>
      <c r="D698" s="3">
        <v>6.473814409E9</v>
      </c>
    </row>
    <row r="699">
      <c r="A699" s="5"/>
      <c r="B699" s="5"/>
      <c r="C699" s="5"/>
      <c r="D699" s="5"/>
    </row>
    <row r="700">
      <c r="A700" s="3" t="s">
        <v>1029</v>
      </c>
      <c r="B700" s="3" t="s">
        <v>1030</v>
      </c>
      <c r="C700" s="4" t="s">
        <v>1031</v>
      </c>
      <c r="D700" s="3" t="s">
        <v>1032</v>
      </c>
    </row>
    <row r="701">
      <c r="A701" s="5"/>
      <c r="B701" s="5"/>
      <c r="C701" s="5"/>
      <c r="D701" s="5"/>
    </row>
    <row r="702">
      <c r="A702" s="3" t="s">
        <v>1033</v>
      </c>
      <c r="B702" s="3" t="s">
        <v>1034</v>
      </c>
      <c r="C702" s="4" t="s">
        <v>1035</v>
      </c>
      <c r="D702" s="3" t="s">
        <v>1036</v>
      </c>
    </row>
    <row r="703">
      <c r="A703" s="5"/>
      <c r="B703" s="5"/>
      <c r="C703" s="5"/>
      <c r="D703" s="5"/>
    </row>
    <row r="704">
      <c r="A704" s="3" t="s">
        <v>1037</v>
      </c>
      <c r="B704" s="3" t="s">
        <v>1038</v>
      </c>
      <c r="C704" s="4" t="s">
        <v>1039</v>
      </c>
      <c r="D704" s="3">
        <v>6.474474672E9</v>
      </c>
    </row>
    <row r="705">
      <c r="A705" s="5"/>
      <c r="B705" s="5"/>
      <c r="C705" s="5"/>
      <c r="D705" s="5"/>
    </row>
    <row r="706">
      <c r="A706" s="3" t="s">
        <v>1040</v>
      </c>
      <c r="B706" s="3" t="s">
        <v>1041</v>
      </c>
      <c r="C706" s="4" t="s">
        <v>1042</v>
      </c>
      <c r="D706" s="3">
        <v>6.473097128E9</v>
      </c>
    </row>
    <row r="707">
      <c r="A707" s="5"/>
      <c r="B707" s="5"/>
      <c r="C707" s="5"/>
      <c r="D707" s="5"/>
    </row>
    <row r="708">
      <c r="A708" s="3" t="s">
        <v>1043</v>
      </c>
      <c r="B708" s="3" t="s">
        <v>624</v>
      </c>
      <c r="C708" s="4" t="s">
        <v>1044</v>
      </c>
      <c r="D708" s="3" t="s">
        <v>1045</v>
      </c>
    </row>
    <row r="709">
      <c r="A709" s="5"/>
      <c r="B709" s="5"/>
      <c r="C709" s="5"/>
      <c r="D709" s="5"/>
    </row>
    <row r="710">
      <c r="A710" s="3" t="s">
        <v>1046</v>
      </c>
      <c r="B710" s="3" t="s">
        <v>1047</v>
      </c>
      <c r="C710" s="4" t="s">
        <v>1048</v>
      </c>
      <c r="D710" s="3">
        <v>6.479755115E9</v>
      </c>
    </row>
    <row r="711">
      <c r="A711" s="5"/>
      <c r="B711" s="5"/>
      <c r="C711" s="5"/>
      <c r="D711" s="5"/>
    </row>
    <row r="712">
      <c r="A712" s="3" t="s">
        <v>1049</v>
      </c>
      <c r="B712" s="3" t="s">
        <v>1050</v>
      </c>
      <c r="C712" s="4" t="s">
        <v>1051</v>
      </c>
      <c r="D712" s="3">
        <v>6.478189608E9</v>
      </c>
    </row>
    <row r="713">
      <c r="A713" s="5"/>
      <c r="B713" s="5"/>
      <c r="C713" s="5"/>
      <c r="D713" s="5"/>
    </row>
    <row r="714">
      <c r="A714" s="3" t="s">
        <v>1052</v>
      </c>
      <c r="B714" s="3" t="s">
        <v>1053</v>
      </c>
      <c r="C714" s="4" t="s">
        <v>1054</v>
      </c>
      <c r="D714" s="3">
        <v>6.473092452E9</v>
      </c>
    </row>
    <row r="715">
      <c r="A715" s="5"/>
      <c r="B715" s="5"/>
      <c r="C715" s="5"/>
      <c r="D715" s="5"/>
    </row>
    <row r="716">
      <c r="A716" s="3" t="s">
        <v>1055</v>
      </c>
      <c r="B716" s="3" t="s">
        <v>306</v>
      </c>
      <c r="C716" s="4" t="s">
        <v>1056</v>
      </c>
      <c r="D716" s="3" t="s">
        <v>1057</v>
      </c>
    </row>
    <row r="717">
      <c r="A717" s="5"/>
      <c r="B717" s="5"/>
      <c r="C717" s="5"/>
      <c r="D717" s="5"/>
    </row>
    <row r="718">
      <c r="A718" s="3" t="s">
        <v>1058</v>
      </c>
      <c r="B718" s="3" t="s">
        <v>4</v>
      </c>
      <c r="C718" s="4" t="s">
        <v>1059</v>
      </c>
      <c r="D718" s="3">
        <v>4.379224109E9</v>
      </c>
    </row>
    <row r="719">
      <c r="A719" s="5"/>
      <c r="B719" s="5"/>
      <c r="C719" s="5"/>
      <c r="D719" s="5"/>
    </row>
    <row r="720">
      <c r="A720" s="3" t="s">
        <v>1060</v>
      </c>
      <c r="B720" s="3" t="s">
        <v>1061</v>
      </c>
      <c r="C720" s="4" t="s">
        <v>1062</v>
      </c>
      <c r="D720" s="3">
        <v>4.376799088E9</v>
      </c>
    </row>
    <row r="721">
      <c r="A721" s="5"/>
      <c r="B721" s="5"/>
      <c r="C721" s="5"/>
      <c r="D721" s="5"/>
    </row>
    <row r="722">
      <c r="A722" s="3" t="s">
        <v>1063</v>
      </c>
      <c r="B722" s="3" t="s">
        <v>1064</v>
      </c>
      <c r="C722" s="4" t="s">
        <v>1065</v>
      </c>
      <c r="D722" s="3">
        <v>2.894407382E9</v>
      </c>
    </row>
    <row r="723">
      <c r="A723" s="5"/>
      <c r="B723" s="5"/>
      <c r="C723" s="5"/>
      <c r="D723" s="5"/>
    </row>
    <row r="724">
      <c r="A724" s="3" t="s">
        <v>1066</v>
      </c>
      <c r="B724" s="3" t="s">
        <v>1067</v>
      </c>
      <c r="C724" s="4" t="s">
        <v>1068</v>
      </c>
      <c r="D724" s="3">
        <v>9.054300444E9</v>
      </c>
    </row>
    <row r="725">
      <c r="A725" s="5"/>
      <c r="B725" s="5"/>
      <c r="C725" s="5"/>
      <c r="D725" s="5"/>
    </row>
    <row r="726">
      <c r="A726" s="3" t="s">
        <v>1069</v>
      </c>
      <c r="B726" s="3" t="s">
        <v>1070</v>
      </c>
      <c r="C726" s="4" t="s">
        <v>1071</v>
      </c>
      <c r="D726" s="3">
        <v>4.16919397E9</v>
      </c>
    </row>
    <row r="727">
      <c r="A727" s="5"/>
      <c r="B727" s="5"/>
      <c r="C727" s="5"/>
      <c r="D727" s="5"/>
    </row>
    <row r="728">
      <c r="A728" s="3" t="s">
        <v>1072</v>
      </c>
      <c r="B728" s="3" t="s">
        <v>1073</v>
      </c>
      <c r="C728" s="4" t="s">
        <v>1074</v>
      </c>
      <c r="D728" s="3">
        <v>4.166668334E9</v>
      </c>
    </row>
    <row r="729">
      <c r="A729" s="5"/>
      <c r="B729" s="5"/>
      <c r="C729" s="5"/>
      <c r="D729" s="5"/>
    </row>
    <row r="730">
      <c r="A730" s="3" t="s">
        <v>1075</v>
      </c>
      <c r="B730" s="3" t="s">
        <v>1076</v>
      </c>
      <c r="C730" s="4" t="s">
        <v>1077</v>
      </c>
      <c r="D730" s="3">
        <v>6.474466476E9</v>
      </c>
    </row>
    <row r="731">
      <c r="A731" s="5"/>
      <c r="B731" s="5"/>
      <c r="C731" s="5"/>
      <c r="D731" s="5"/>
    </row>
    <row r="732">
      <c r="A732" s="3" t="s">
        <v>1078</v>
      </c>
      <c r="B732" s="3" t="s">
        <v>1079</v>
      </c>
      <c r="C732" s="4" t="s">
        <v>1080</v>
      </c>
      <c r="D732" s="3">
        <v>6.476870231E9</v>
      </c>
    </row>
    <row r="733">
      <c r="A733" s="5"/>
      <c r="B733" s="5"/>
      <c r="C733" s="5"/>
      <c r="D733" s="5"/>
    </row>
    <row r="734">
      <c r="A734" s="3" t="s">
        <v>1081</v>
      </c>
      <c r="B734" s="3" t="s">
        <v>1082</v>
      </c>
      <c r="C734" s="4" t="s">
        <v>1083</v>
      </c>
      <c r="D734" s="3">
        <v>6.474740716E9</v>
      </c>
    </row>
    <row r="735">
      <c r="A735" s="5"/>
      <c r="B735" s="5"/>
      <c r="C735" s="5"/>
      <c r="D735" s="5"/>
    </row>
    <row r="736">
      <c r="A736" s="3" t="s">
        <v>1084</v>
      </c>
      <c r="B736" s="3" t="s">
        <v>1085</v>
      </c>
      <c r="C736" s="4" t="s">
        <v>1086</v>
      </c>
      <c r="D736" s="3" t="s">
        <v>1087</v>
      </c>
    </row>
    <row r="737">
      <c r="A737" s="5"/>
      <c r="B737" s="5"/>
      <c r="C737" s="5"/>
      <c r="D737" s="5"/>
    </row>
    <row r="738">
      <c r="A738" s="3" t="s">
        <v>1088</v>
      </c>
      <c r="B738" s="3" t="s">
        <v>1089</v>
      </c>
      <c r="C738" s="4" t="s">
        <v>1090</v>
      </c>
      <c r="D738" s="3">
        <v>6.479063773E9</v>
      </c>
    </row>
    <row r="739">
      <c r="A739" s="5"/>
      <c r="B739" s="5"/>
      <c r="C739" s="5"/>
      <c r="D739" s="5"/>
    </row>
    <row r="740">
      <c r="A740" s="3" t="s">
        <v>1091</v>
      </c>
      <c r="B740" s="3" t="s">
        <v>1092</v>
      </c>
      <c r="C740" s="4" t="s">
        <v>1093</v>
      </c>
      <c r="D740" s="3">
        <v>2.899284644E9</v>
      </c>
    </row>
    <row r="741">
      <c r="A741" s="5"/>
      <c r="B741" s="5"/>
      <c r="C741" s="5"/>
      <c r="D741" s="5"/>
    </row>
    <row r="742">
      <c r="A742" s="3" t="s">
        <v>1094</v>
      </c>
      <c r="B742" s="3" t="s">
        <v>1095</v>
      </c>
      <c r="C742" s="4" t="s">
        <v>1096</v>
      </c>
      <c r="D742" s="3">
        <v>6.478221772E9</v>
      </c>
    </row>
    <row r="743">
      <c r="A743" s="5"/>
      <c r="B743" s="5"/>
      <c r="C743" s="5"/>
      <c r="D743" s="5"/>
    </row>
    <row r="744">
      <c r="A744" s="3" t="s">
        <v>1097</v>
      </c>
      <c r="B744" s="3" t="s">
        <v>1098</v>
      </c>
      <c r="C744" s="4" t="s">
        <v>1099</v>
      </c>
      <c r="D744" s="3">
        <v>2.397899895E9</v>
      </c>
    </row>
    <row r="745">
      <c r="A745" s="5"/>
      <c r="B745" s="5"/>
      <c r="C745" s="5"/>
      <c r="D745" s="5"/>
    </row>
    <row r="746">
      <c r="A746" s="3" t="s">
        <v>1100</v>
      </c>
      <c r="B746" s="3" t="s">
        <v>1101</v>
      </c>
      <c r="C746" s="4" t="s">
        <v>1102</v>
      </c>
      <c r="D746" s="3" t="s">
        <v>1103</v>
      </c>
    </row>
    <row r="747">
      <c r="A747" s="5"/>
      <c r="B747" s="5"/>
      <c r="C747" s="5"/>
      <c r="D747" s="5"/>
    </row>
    <row r="748">
      <c r="A748" s="3" t="s">
        <v>1104</v>
      </c>
      <c r="B748" s="3" t="s">
        <v>1105</v>
      </c>
      <c r="C748" s="4" t="s">
        <v>1106</v>
      </c>
      <c r="D748" s="3" t="s">
        <v>1107</v>
      </c>
    </row>
    <row r="749">
      <c r="A749" s="5"/>
      <c r="B749" s="5"/>
      <c r="C749" s="5"/>
      <c r="D749" s="5"/>
    </row>
    <row r="750">
      <c r="A750" s="3" t="s">
        <v>1108</v>
      </c>
      <c r="B750" s="3" t="s">
        <v>1109</v>
      </c>
      <c r="C750" s="4" t="s">
        <v>1110</v>
      </c>
      <c r="D750" s="3">
        <v>4.373313296E9</v>
      </c>
    </row>
    <row r="751">
      <c r="A751" s="5"/>
      <c r="B751" s="5"/>
      <c r="C751" s="5"/>
      <c r="D751" s="5"/>
    </row>
    <row r="752">
      <c r="A752" s="3" t="s">
        <v>1111</v>
      </c>
      <c r="B752" s="3" t="s">
        <v>167</v>
      </c>
      <c r="C752" s="4" t="s">
        <v>1112</v>
      </c>
      <c r="D752" s="3">
        <v>4.168260786E9</v>
      </c>
    </row>
    <row r="753">
      <c r="A753" s="5"/>
      <c r="B753" s="5"/>
      <c r="C753" s="5"/>
      <c r="D753" s="5"/>
    </row>
    <row r="754">
      <c r="A754" s="3" t="s">
        <v>1113</v>
      </c>
      <c r="B754" s="3" t="s">
        <v>1114</v>
      </c>
      <c r="C754" s="4" t="s">
        <v>1115</v>
      </c>
      <c r="D754" s="3">
        <v>6.475535014E9</v>
      </c>
    </row>
    <row r="755">
      <c r="A755" s="5"/>
      <c r="B755" s="5"/>
      <c r="C755" s="5"/>
      <c r="D755" s="5"/>
    </row>
    <row r="756">
      <c r="A756" s="3" t="s">
        <v>1116</v>
      </c>
      <c r="B756" s="3" t="s">
        <v>1117</v>
      </c>
      <c r="C756" s="4" t="s">
        <v>1118</v>
      </c>
      <c r="D756" s="3">
        <v>4.1686865E9</v>
      </c>
    </row>
    <row r="757">
      <c r="A757" s="5"/>
      <c r="B757" s="5"/>
      <c r="C757" s="5"/>
      <c r="D757" s="5"/>
    </row>
    <row r="758">
      <c r="A758" s="3" t="s">
        <v>1119</v>
      </c>
      <c r="B758" s="3" t="s">
        <v>1120</v>
      </c>
      <c r="C758" s="4" t="s">
        <v>1121</v>
      </c>
      <c r="D758" s="3">
        <v>6.479855956E9</v>
      </c>
    </row>
    <row r="759">
      <c r="A759" s="5"/>
      <c r="B759" s="5"/>
      <c r="C759" s="5"/>
      <c r="D759" s="5"/>
    </row>
    <row r="760">
      <c r="A760" s="3" t="s">
        <v>1122</v>
      </c>
      <c r="B760" s="3" t="s">
        <v>1123</v>
      </c>
      <c r="C760" s="4" t="s">
        <v>1124</v>
      </c>
      <c r="D760" s="3">
        <v>4.166609838E9</v>
      </c>
    </row>
    <row r="761">
      <c r="A761" s="5"/>
      <c r="B761" s="5"/>
      <c r="C761" s="5"/>
      <c r="D761" s="5"/>
    </row>
    <row r="762">
      <c r="A762" s="3" t="s">
        <v>116</v>
      </c>
      <c r="B762" s="3" t="s">
        <v>1125</v>
      </c>
      <c r="C762" s="4" t="s">
        <v>1126</v>
      </c>
      <c r="D762" s="3">
        <v>9.023151939E9</v>
      </c>
    </row>
    <row r="763">
      <c r="A763" s="5"/>
      <c r="B763" s="5"/>
      <c r="C763" s="5"/>
      <c r="D763" s="5"/>
    </row>
    <row r="764">
      <c r="A764" s="3" t="s">
        <v>1127</v>
      </c>
      <c r="B764" s="3" t="s">
        <v>1128</v>
      </c>
      <c r="C764" s="4" t="s">
        <v>1129</v>
      </c>
      <c r="D764" s="3">
        <v>6.479755143E9</v>
      </c>
    </row>
    <row r="765">
      <c r="A765" s="5"/>
      <c r="B765" s="5"/>
      <c r="C765" s="5"/>
      <c r="D765" s="5"/>
    </row>
    <row r="766">
      <c r="A766" s="3" t="s">
        <v>1130</v>
      </c>
      <c r="B766" s="3" t="s">
        <v>1131</v>
      </c>
      <c r="C766" s="4" t="s">
        <v>1132</v>
      </c>
      <c r="D766" s="3">
        <v>9.05449561E9</v>
      </c>
    </row>
    <row r="767">
      <c r="A767" s="5"/>
      <c r="B767" s="5"/>
      <c r="C767" s="5"/>
      <c r="D767" s="5"/>
    </row>
    <row r="768">
      <c r="A768" s="3" t="s">
        <v>1133</v>
      </c>
      <c r="B768" s="3" t="s">
        <v>1134</v>
      </c>
      <c r="C768" s="4" t="s">
        <v>1135</v>
      </c>
      <c r="D768" s="3">
        <v>6.476743949E9</v>
      </c>
    </row>
    <row r="769">
      <c r="A769" s="5"/>
      <c r="B769" s="5"/>
      <c r="C769" s="5"/>
      <c r="D769" s="5"/>
    </row>
    <row r="770">
      <c r="A770" s="3" t="s">
        <v>1136</v>
      </c>
      <c r="B770" s="3" t="s">
        <v>1137</v>
      </c>
      <c r="C770" s="4" t="s">
        <v>1138</v>
      </c>
      <c r="D770" s="3">
        <v>6.478886703E9</v>
      </c>
    </row>
    <row r="771">
      <c r="A771" s="5"/>
      <c r="B771" s="5"/>
      <c r="C771" s="5"/>
      <c r="D771" s="5"/>
    </row>
    <row r="772">
      <c r="A772" s="3" t="s">
        <v>1139</v>
      </c>
      <c r="B772" s="3" t="s">
        <v>1140</v>
      </c>
      <c r="C772" s="4" t="s">
        <v>1141</v>
      </c>
      <c r="D772" s="3">
        <v>4.163125083E9</v>
      </c>
    </row>
    <row r="773">
      <c r="A773" s="5"/>
      <c r="B773" s="5"/>
      <c r="C773" s="5"/>
      <c r="D773" s="5"/>
    </row>
    <row r="774">
      <c r="A774" s="3" t="s">
        <v>1142</v>
      </c>
      <c r="B774" s="3" t="s">
        <v>1143</v>
      </c>
      <c r="C774" s="4" t="s">
        <v>1144</v>
      </c>
      <c r="D774" s="3" t="s">
        <v>1145</v>
      </c>
    </row>
    <row r="775">
      <c r="A775" s="5"/>
      <c r="B775" s="5"/>
      <c r="C775" s="5"/>
      <c r="D775" s="5"/>
    </row>
    <row r="776">
      <c r="A776" s="3" t="s">
        <v>65</v>
      </c>
      <c r="B776" s="3" t="s">
        <v>66</v>
      </c>
      <c r="C776" s="4" t="s">
        <v>1146</v>
      </c>
      <c r="D776" s="3">
        <v>9.057818585E9</v>
      </c>
    </row>
    <row r="777">
      <c r="A777" s="5"/>
      <c r="B777" s="5"/>
      <c r="C777" s="5"/>
      <c r="D777" s="5"/>
    </row>
    <row r="778">
      <c r="A778" s="3" t="s">
        <v>1147</v>
      </c>
      <c r="B778" s="3" t="s">
        <v>1148</v>
      </c>
      <c r="C778" s="4" t="s">
        <v>1149</v>
      </c>
      <c r="D778" s="3">
        <v>9.057458871E9</v>
      </c>
    </row>
    <row r="779">
      <c r="A779" s="5"/>
      <c r="B779" s="5"/>
      <c r="C779" s="5"/>
      <c r="D779" s="5"/>
    </row>
    <row r="780">
      <c r="A780" s="3" t="s">
        <v>1150</v>
      </c>
      <c r="B780" s="3" t="s">
        <v>1151</v>
      </c>
      <c r="C780" s="4" t="s">
        <v>1152</v>
      </c>
      <c r="D780" s="3" t="s">
        <v>1153</v>
      </c>
    </row>
    <row r="781">
      <c r="A781" s="5"/>
      <c r="B781" s="5"/>
      <c r="C781" s="5"/>
      <c r="D781" s="5"/>
    </row>
    <row r="782">
      <c r="A782" s="3" t="s">
        <v>873</v>
      </c>
      <c r="B782" s="3" t="s">
        <v>1154</v>
      </c>
      <c r="C782" s="4" t="s">
        <v>1155</v>
      </c>
      <c r="D782" s="3">
        <v>6.477677158E9</v>
      </c>
    </row>
    <row r="783">
      <c r="A783" s="5"/>
      <c r="B783" s="5"/>
      <c r="C783" s="5"/>
      <c r="D783" s="5"/>
    </row>
    <row r="784">
      <c r="A784" s="3" t="s">
        <v>1156</v>
      </c>
      <c r="B784" s="3" t="s">
        <v>1157</v>
      </c>
      <c r="C784" s="4" t="s">
        <v>1158</v>
      </c>
      <c r="D784" s="3">
        <v>5.548477856E9</v>
      </c>
    </row>
    <row r="785">
      <c r="A785" s="5"/>
      <c r="B785" s="5"/>
      <c r="C785" s="5"/>
      <c r="D785" s="5"/>
    </row>
    <row r="786">
      <c r="A786" s="3" t="s">
        <v>1159</v>
      </c>
      <c r="B786" s="3" t="s">
        <v>1160</v>
      </c>
      <c r="C786" s="4" t="s">
        <v>1161</v>
      </c>
      <c r="D786" s="3">
        <v>2.26791672E9</v>
      </c>
    </row>
    <row r="787">
      <c r="A787" s="5"/>
      <c r="B787" s="5"/>
      <c r="C787" s="5"/>
      <c r="D787" s="5"/>
    </row>
    <row r="788">
      <c r="A788" s="3" t="s">
        <v>1162</v>
      </c>
      <c r="B788" s="3" t="s">
        <v>1163</v>
      </c>
      <c r="C788" s="4" t="s">
        <v>1164</v>
      </c>
      <c r="D788" s="3">
        <v>6.479891162E9</v>
      </c>
    </row>
    <row r="789">
      <c r="A789" s="5"/>
      <c r="B789" s="5"/>
      <c r="C789" s="5"/>
      <c r="D789" s="5"/>
    </row>
    <row r="790">
      <c r="A790" s="3" t="s">
        <v>1165</v>
      </c>
      <c r="B790" s="3" t="s">
        <v>1166</v>
      </c>
      <c r="C790" s="4" t="s">
        <v>1167</v>
      </c>
      <c r="D790" s="3">
        <v>6.47707706E9</v>
      </c>
    </row>
    <row r="791">
      <c r="A791" s="5"/>
      <c r="B791" s="5"/>
      <c r="C791" s="5"/>
      <c r="D791" s="5"/>
    </row>
    <row r="792">
      <c r="A792" s="3" t="s">
        <v>1168</v>
      </c>
      <c r="B792" s="3" t="s">
        <v>1169</v>
      </c>
      <c r="C792" s="4" t="s">
        <v>1170</v>
      </c>
      <c r="D792" s="3">
        <v>4.372625656E9</v>
      </c>
    </row>
    <row r="793">
      <c r="A793" s="5"/>
      <c r="B793" s="5"/>
      <c r="C793" s="5"/>
      <c r="D793" s="5"/>
    </row>
    <row r="794">
      <c r="A794" s="3" t="s">
        <v>1171</v>
      </c>
      <c r="B794" s="3" t="s">
        <v>1172</v>
      </c>
      <c r="C794" s="3" t="s">
        <v>1171</v>
      </c>
      <c r="D794" s="3">
        <v>4.166297653E9</v>
      </c>
    </row>
    <row r="795">
      <c r="A795" s="5"/>
      <c r="B795" s="5"/>
      <c r="C795" s="5"/>
      <c r="D795" s="5"/>
    </row>
    <row r="796">
      <c r="A796" s="3" t="s">
        <v>1173</v>
      </c>
      <c r="B796" s="3" t="s">
        <v>3</v>
      </c>
      <c r="C796" s="4" t="s">
        <v>1174</v>
      </c>
      <c r="D796" s="3">
        <v>6.476213213E9</v>
      </c>
    </row>
    <row r="797">
      <c r="A797" s="5"/>
      <c r="B797" s="5"/>
      <c r="C797" s="5"/>
      <c r="D797" s="5"/>
    </row>
    <row r="798">
      <c r="A798" s="3" t="s">
        <v>1175</v>
      </c>
      <c r="B798" s="3" t="s">
        <v>1176</v>
      </c>
      <c r="C798" s="4" t="s">
        <v>1177</v>
      </c>
      <c r="D798" s="3">
        <v>6.472159296E9</v>
      </c>
    </row>
    <row r="799">
      <c r="A799" s="5"/>
      <c r="B799" s="5"/>
      <c r="C799" s="5"/>
      <c r="D799" s="5"/>
    </row>
    <row r="800">
      <c r="A800" s="3" t="s">
        <v>1178</v>
      </c>
      <c r="B800" s="3" t="s">
        <v>29</v>
      </c>
      <c r="C800" s="4" t="s">
        <v>1179</v>
      </c>
      <c r="D800" s="3">
        <v>6.475101335E9</v>
      </c>
    </row>
    <row r="801">
      <c r="A801" s="5"/>
      <c r="B801" s="5"/>
      <c r="C801" s="5"/>
      <c r="D801" s="5"/>
    </row>
    <row r="802">
      <c r="A802" s="3" t="s">
        <v>884</v>
      </c>
      <c r="B802" s="3" t="s">
        <v>1180</v>
      </c>
      <c r="C802" s="4" t="s">
        <v>1181</v>
      </c>
      <c r="D802" s="3">
        <v>4.167951993E9</v>
      </c>
    </row>
    <row r="803">
      <c r="A803" s="5"/>
      <c r="B803" s="5"/>
      <c r="C803" s="5"/>
      <c r="D803" s="5"/>
    </row>
    <row r="804">
      <c r="A804" s="3" t="s">
        <v>1182</v>
      </c>
      <c r="B804" s="3" t="s">
        <v>1183</v>
      </c>
      <c r="C804" s="4" t="s">
        <v>1184</v>
      </c>
      <c r="D804" s="3">
        <v>4.167277403E9</v>
      </c>
    </row>
    <row r="805">
      <c r="A805" s="5"/>
      <c r="B805" s="5"/>
      <c r="C805" s="5"/>
      <c r="D805" s="5"/>
    </row>
    <row r="806">
      <c r="A806" s="3" t="s">
        <v>1182</v>
      </c>
      <c r="B806" s="3" t="s">
        <v>1183</v>
      </c>
      <c r="C806" s="4" t="s">
        <v>1185</v>
      </c>
      <c r="D806" s="3" t="s">
        <v>1186</v>
      </c>
    </row>
    <row r="807">
      <c r="A807" s="5"/>
      <c r="B807" s="5"/>
      <c r="C807" s="5"/>
      <c r="D807" s="5"/>
    </row>
    <row r="808">
      <c r="A808" s="3" t="s">
        <v>1187</v>
      </c>
      <c r="B808" s="3" t="s">
        <v>1188</v>
      </c>
      <c r="C808" s="4" t="s">
        <v>1189</v>
      </c>
      <c r="D808" s="3" t="s">
        <v>1190</v>
      </c>
    </row>
    <row r="809">
      <c r="A809" s="5"/>
      <c r="B809" s="5"/>
      <c r="C809" s="5"/>
      <c r="D809" s="5"/>
    </row>
    <row r="810">
      <c r="A810" s="3" t="s">
        <v>1191</v>
      </c>
      <c r="B810" s="3" t="s">
        <v>1192</v>
      </c>
      <c r="C810" s="4" t="s">
        <v>1193</v>
      </c>
      <c r="D810" s="3">
        <v>4.168377034E9</v>
      </c>
    </row>
    <row r="811">
      <c r="A811" s="5"/>
      <c r="B811" s="5"/>
      <c r="C811" s="5"/>
      <c r="D811" s="5"/>
    </row>
    <row r="812">
      <c r="A812" s="3" t="s">
        <v>1194</v>
      </c>
      <c r="B812" s="3" t="s">
        <v>1195</v>
      </c>
      <c r="C812" s="4" t="s">
        <v>1196</v>
      </c>
      <c r="D812" s="3">
        <v>4.169304608E9</v>
      </c>
    </row>
    <row r="813">
      <c r="A813" s="5"/>
      <c r="B813" s="5"/>
      <c r="C813" s="5"/>
      <c r="D813" s="5"/>
    </row>
    <row r="814">
      <c r="A814" s="3" t="s">
        <v>1197</v>
      </c>
      <c r="B814" s="3" t="s">
        <v>1198</v>
      </c>
      <c r="C814" s="4" t="s">
        <v>1199</v>
      </c>
      <c r="D814" s="3">
        <v>5.193593718E9</v>
      </c>
    </row>
    <row r="815">
      <c r="A815" s="5"/>
      <c r="B815" s="5"/>
      <c r="C815" s="5"/>
      <c r="D815" s="5"/>
    </row>
    <row r="816">
      <c r="A816" s="3" t="s">
        <v>1200</v>
      </c>
      <c r="B816" s="3" t="s">
        <v>1201</v>
      </c>
      <c r="C816" s="4" t="s">
        <v>1202</v>
      </c>
      <c r="D816" s="3">
        <v>6.478680995E9</v>
      </c>
    </row>
    <row r="817">
      <c r="A817" s="5"/>
      <c r="B817" s="5"/>
      <c r="C817" s="5"/>
      <c r="D817" s="5"/>
    </row>
    <row r="818">
      <c r="A818" s="3" t="s">
        <v>1203</v>
      </c>
      <c r="B818" s="3" t="s">
        <v>1204</v>
      </c>
      <c r="C818" s="4" t="s">
        <v>1205</v>
      </c>
      <c r="D818" s="3">
        <v>4.379716561E9</v>
      </c>
    </row>
    <row r="819">
      <c r="A819" s="5"/>
      <c r="B819" s="5"/>
      <c r="C819" s="5"/>
      <c r="D819" s="5"/>
    </row>
    <row r="820">
      <c r="A820" s="3" t="s">
        <v>1206</v>
      </c>
      <c r="B820" s="3" t="s">
        <v>1207</v>
      </c>
      <c r="C820" s="4" t="s">
        <v>1208</v>
      </c>
      <c r="D820" s="3">
        <v>6.475315687E9</v>
      </c>
    </row>
    <row r="821">
      <c r="A821" s="5"/>
      <c r="B821" s="5"/>
      <c r="C821" s="5"/>
      <c r="D821" s="5"/>
    </row>
    <row r="822">
      <c r="A822" s="3" t="s">
        <v>1209</v>
      </c>
      <c r="B822" s="3" t="s">
        <v>1210</v>
      </c>
      <c r="C822" s="4" t="s">
        <v>1211</v>
      </c>
      <c r="D822" s="3">
        <v>4.379297529E9</v>
      </c>
    </row>
    <row r="823">
      <c r="A823" s="5"/>
      <c r="B823" s="5"/>
      <c r="C823" s="5"/>
      <c r="D823" s="5"/>
    </row>
    <row r="824">
      <c r="A824" s="3" t="s">
        <v>1212</v>
      </c>
      <c r="B824" s="3" t="s">
        <v>1213</v>
      </c>
      <c r="C824" s="4" t="s">
        <v>1214</v>
      </c>
      <c r="D824" s="3" t="s">
        <v>1215</v>
      </c>
    </row>
    <row r="825">
      <c r="A825" s="5"/>
      <c r="B825" s="5"/>
      <c r="C825" s="5"/>
      <c r="D825" s="5"/>
    </row>
    <row r="826">
      <c r="A826" s="3" t="s">
        <v>1216</v>
      </c>
      <c r="B826" s="3" t="s">
        <v>1217</v>
      </c>
      <c r="C826" s="4" t="s">
        <v>1218</v>
      </c>
      <c r="D826" s="3">
        <v>2.894042321E9</v>
      </c>
    </row>
    <row r="827">
      <c r="A827" s="5"/>
      <c r="B827" s="5"/>
      <c r="C827" s="5"/>
      <c r="D827" s="5"/>
    </row>
    <row r="828">
      <c r="A828" s="3" t="s">
        <v>1219</v>
      </c>
      <c r="B828" s="3" t="s">
        <v>1220</v>
      </c>
      <c r="C828" s="4" t="s">
        <v>1221</v>
      </c>
      <c r="D828" s="3">
        <v>4.379970415E9</v>
      </c>
    </row>
    <row r="829">
      <c r="A829" s="5"/>
      <c r="B829" s="5"/>
      <c r="C829" s="5"/>
      <c r="D829" s="5"/>
    </row>
    <row r="830">
      <c r="A830" s="3" t="s">
        <v>1222</v>
      </c>
      <c r="B830" s="3" t="s">
        <v>1223</v>
      </c>
      <c r="C830" s="4" t="s">
        <v>1224</v>
      </c>
      <c r="D830" s="3" t="s">
        <v>1225</v>
      </c>
    </row>
    <row r="831">
      <c r="A831" s="5"/>
      <c r="B831" s="5"/>
      <c r="C831" s="5"/>
      <c r="D831" s="5"/>
    </row>
    <row r="832">
      <c r="A832" s="3" t="s">
        <v>1226</v>
      </c>
      <c r="B832" s="3" t="s">
        <v>1227</v>
      </c>
      <c r="C832" s="4" t="s">
        <v>1228</v>
      </c>
      <c r="D832" s="3">
        <v>6.476874986E9</v>
      </c>
    </row>
    <row r="833">
      <c r="A833" s="5"/>
      <c r="B833" s="5"/>
      <c r="C833" s="5"/>
      <c r="D833" s="5"/>
    </row>
    <row r="834">
      <c r="A834" s="3" t="s">
        <v>1229</v>
      </c>
      <c r="B834" s="3" t="s">
        <v>1230</v>
      </c>
      <c r="C834" s="4" t="s">
        <v>1231</v>
      </c>
      <c r="D834" s="3">
        <v>6.478470093E9</v>
      </c>
    </row>
    <row r="835">
      <c r="A835" s="5"/>
      <c r="B835" s="5"/>
      <c r="C835" s="5"/>
      <c r="D835" s="5"/>
    </row>
    <row r="836">
      <c r="A836" s="3" t="s">
        <v>1232</v>
      </c>
      <c r="B836" s="3" t="s">
        <v>1233</v>
      </c>
      <c r="C836" s="4" t="s">
        <v>1234</v>
      </c>
      <c r="D836" s="3">
        <v>4.169182805E9</v>
      </c>
    </row>
    <row r="837">
      <c r="A837" s="5"/>
      <c r="B837" s="5"/>
      <c r="C837" s="5"/>
      <c r="D837" s="5"/>
    </row>
    <row r="838">
      <c r="A838" s="3" t="s">
        <v>1235</v>
      </c>
      <c r="B838" s="3" t="s">
        <v>167</v>
      </c>
      <c r="C838" s="4" t="s">
        <v>1236</v>
      </c>
      <c r="D838" s="3">
        <v>6.476162233E9</v>
      </c>
    </row>
    <row r="839">
      <c r="A839" s="5"/>
      <c r="B839" s="5"/>
      <c r="C839" s="5"/>
      <c r="D839" s="5"/>
    </row>
    <row r="840">
      <c r="A840" s="3" t="s">
        <v>1237</v>
      </c>
      <c r="B840" s="3" t="s">
        <v>1238</v>
      </c>
      <c r="C840" s="4" t="s">
        <v>1239</v>
      </c>
      <c r="D840" s="3">
        <v>6.476182511E9</v>
      </c>
    </row>
    <row r="841">
      <c r="A841" s="5"/>
      <c r="B841" s="5"/>
      <c r="C841" s="5"/>
      <c r="D841" s="5"/>
    </row>
    <row r="842">
      <c r="A842" s="3" t="s">
        <v>1240</v>
      </c>
      <c r="B842" s="3" t="s">
        <v>1241</v>
      </c>
      <c r="C842" s="4" t="s">
        <v>1242</v>
      </c>
      <c r="D842" s="3">
        <v>6.477134125E9</v>
      </c>
    </row>
    <row r="843">
      <c r="A843" s="5"/>
      <c r="B843" s="5"/>
      <c r="C843" s="5"/>
      <c r="D843" s="5"/>
    </row>
    <row r="844">
      <c r="A844" s="3" t="s">
        <v>1243</v>
      </c>
      <c r="B844" s="3" t="s">
        <v>1244</v>
      </c>
      <c r="C844" s="4" t="s">
        <v>1245</v>
      </c>
      <c r="D844" s="3" t="s">
        <v>1246</v>
      </c>
    </row>
    <row r="845">
      <c r="A845" s="5"/>
      <c r="B845" s="5"/>
      <c r="C845" s="5"/>
      <c r="D845" s="5"/>
    </row>
    <row r="846">
      <c r="A846" s="3" t="s">
        <v>1247</v>
      </c>
      <c r="B846" s="3" t="s">
        <v>1248</v>
      </c>
      <c r="C846" s="4" t="s">
        <v>1249</v>
      </c>
      <c r="D846" s="3">
        <v>4.165295936E9</v>
      </c>
    </row>
    <row r="847">
      <c r="A847" s="5"/>
      <c r="B847" s="5"/>
      <c r="C847" s="5"/>
      <c r="D847" s="5"/>
    </row>
    <row r="848">
      <c r="A848" s="3" t="s">
        <v>1250</v>
      </c>
      <c r="B848" s="3" t="s">
        <v>1251</v>
      </c>
      <c r="C848" s="4" t="s">
        <v>1252</v>
      </c>
      <c r="D848" s="3">
        <v>2.899928252E9</v>
      </c>
    </row>
    <row r="849">
      <c r="A849" s="5"/>
      <c r="B849" s="5"/>
      <c r="C849" s="5"/>
      <c r="D849" s="5"/>
    </row>
    <row r="850">
      <c r="A850" s="3" t="s">
        <v>1253</v>
      </c>
      <c r="B850" s="3" t="s">
        <v>1254</v>
      </c>
      <c r="C850" s="4" t="s">
        <v>1255</v>
      </c>
      <c r="D850" s="3">
        <v>4.374302201E9</v>
      </c>
    </row>
    <row r="851">
      <c r="A851" s="5"/>
      <c r="B851" s="5"/>
      <c r="C851" s="5"/>
      <c r="D851" s="5"/>
    </row>
    <row r="852">
      <c r="A852" s="3" t="s">
        <v>1256</v>
      </c>
      <c r="B852" s="3" t="s">
        <v>1257</v>
      </c>
      <c r="C852" s="4" t="s">
        <v>1258</v>
      </c>
      <c r="D852" s="3">
        <v>6.478953839E9</v>
      </c>
    </row>
    <row r="853">
      <c r="A853" s="5"/>
      <c r="B853" s="5"/>
      <c r="C853" s="5"/>
      <c r="D853" s="5"/>
    </row>
    <row r="854">
      <c r="A854" s="3" t="s">
        <v>1259</v>
      </c>
      <c r="B854" s="3" t="s">
        <v>1260</v>
      </c>
      <c r="C854" s="4" t="s">
        <v>1261</v>
      </c>
      <c r="D854" s="3">
        <v>4.169091924E9</v>
      </c>
    </row>
    <row r="855">
      <c r="A855" s="5"/>
      <c r="B855" s="5"/>
      <c r="C855" s="5"/>
      <c r="D855" s="5"/>
    </row>
    <row r="856">
      <c r="A856" s="3" t="s">
        <v>1262</v>
      </c>
      <c r="B856" s="3" t="s">
        <v>1263</v>
      </c>
      <c r="C856" s="4" t="s">
        <v>1264</v>
      </c>
      <c r="D856" s="3">
        <v>6.479906463E9</v>
      </c>
    </row>
    <row r="857">
      <c r="A857" s="5"/>
      <c r="B857" s="5"/>
      <c r="C857" s="5"/>
      <c r="D857" s="5"/>
    </row>
    <row r="858">
      <c r="A858" s="3" t="s">
        <v>1265</v>
      </c>
      <c r="B858" s="3" t="s">
        <v>1266</v>
      </c>
      <c r="C858" s="4" t="s">
        <v>1267</v>
      </c>
      <c r="D858" s="3">
        <v>6.476768274E9</v>
      </c>
    </row>
    <row r="859">
      <c r="A859" s="5"/>
      <c r="B859" s="5"/>
      <c r="C859" s="5"/>
      <c r="D859" s="5"/>
    </row>
    <row r="860">
      <c r="A860" s="3" t="s">
        <v>1268</v>
      </c>
      <c r="B860" s="3" t="s">
        <v>1269</v>
      </c>
      <c r="C860" s="4" t="s">
        <v>1270</v>
      </c>
      <c r="D860" s="3">
        <v>4.379731312E9</v>
      </c>
    </row>
    <row r="861">
      <c r="A861" s="5"/>
      <c r="B861" s="5"/>
      <c r="C861" s="5"/>
      <c r="D861" s="5"/>
    </row>
    <row r="862">
      <c r="A862" s="3" t="s">
        <v>1271</v>
      </c>
      <c r="B862" s="3" t="s">
        <v>1272</v>
      </c>
      <c r="C862" s="4" t="s">
        <v>1273</v>
      </c>
      <c r="D862" s="3">
        <v>6.475151451E9</v>
      </c>
    </row>
    <row r="863">
      <c r="A863" s="5"/>
      <c r="B863" s="5"/>
      <c r="C863" s="5"/>
      <c r="D863" s="5"/>
    </row>
    <row r="864">
      <c r="A864" s="3" t="s">
        <v>1274</v>
      </c>
      <c r="B864" s="3" t="s">
        <v>1275</v>
      </c>
      <c r="C864" s="4" t="s">
        <v>1276</v>
      </c>
      <c r="D864" s="3" t="s">
        <v>1277</v>
      </c>
      <c r="E864" s="8"/>
    </row>
    <row r="865">
      <c r="A865" s="5"/>
      <c r="B865" s="5"/>
      <c r="C865" s="5"/>
      <c r="D865" s="5"/>
    </row>
    <row r="866">
      <c r="A866" s="3" t="s">
        <v>1278</v>
      </c>
      <c r="B866" s="3" t="s">
        <v>1279</v>
      </c>
      <c r="C866" s="4" t="s">
        <v>1280</v>
      </c>
      <c r="D866" s="3">
        <v>4.16939357E9</v>
      </c>
    </row>
    <row r="867">
      <c r="A867" s="5"/>
      <c r="B867" s="5"/>
      <c r="C867" s="5"/>
      <c r="D867" s="5"/>
    </row>
    <row r="868">
      <c r="A868" s="3" t="s">
        <v>1281</v>
      </c>
      <c r="B868" s="3" t="s">
        <v>428</v>
      </c>
      <c r="C868" s="4" t="s">
        <v>1282</v>
      </c>
      <c r="D868" s="3">
        <v>6.477203088E9</v>
      </c>
    </row>
    <row r="869">
      <c r="A869" s="5"/>
      <c r="B869" s="5"/>
      <c r="C869" s="5"/>
      <c r="D869" s="5"/>
    </row>
    <row r="870">
      <c r="A870" s="3" t="s">
        <v>1283</v>
      </c>
      <c r="B870" s="3" t="s">
        <v>1284</v>
      </c>
      <c r="C870" s="4" t="s">
        <v>1285</v>
      </c>
      <c r="D870" s="3">
        <v>9.055500978E9</v>
      </c>
    </row>
    <row r="871">
      <c r="A871" s="5"/>
      <c r="B871" s="5"/>
      <c r="C871" s="5"/>
      <c r="D871" s="5"/>
    </row>
    <row r="872">
      <c r="A872" s="3" t="s">
        <v>1286</v>
      </c>
      <c r="B872" s="3" t="s">
        <v>1287</v>
      </c>
      <c r="C872" s="4" t="s">
        <v>1288</v>
      </c>
      <c r="D872" s="3" t="s">
        <v>1289</v>
      </c>
    </row>
    <row r="873">
      <c r="A873" s="5"/>
      <c r="B873" s="5"/>
      <c r="C873" s="5"/>
      <c r="D873" s="5"/>
    </row>
    <row r="874">
      <c r="A874" s="3" t="s">
        <v>1290</v>
      </c>
      <c r="B874" s="3" t="s">
        <v>1291</v>
      </c>
      <c r="C874" s="4" t="s">
        <v>1292</v>
      </c>
      <c r="D874" s="3">
        <v>6.478221202E9</v>
      </c>
    </row>
    <row r="875">
      <c r="A875" s="5"/>
      <c r="B875" s="5"/>
      <c r="C875" s="5"/>
      <c r="D875" s="5"/>
    </row>
    <row r="876">
      <c r="A876" s="3" t="s">
        <v>1293</v>
      </c>
      <c r="B876" s="3" t="s">
        <v>306</v>
      </c>
      <c r="C876" s="4" t="s">
        <v>1294</v>
      </c>
      <c r="D876" s="3">
        <v>6.473239555E9</v>
      </c>
    </row>
    <row r="877">
      <c r="A877" s="5"/>
      <c r="B877" s="5"/>
      <c r="C877" s="5"/>
      <c r="D877" s="5"/>
    </row>
    <row r="878">
      <c r="A878" s="3" t="s">
        <v>1295</v>
      </c>
      <c r="B878" s="3" t="s">
        <v>1296</v>
      </c>
      <c r="C878" s="4" t="s">
        <v>1297</v>
      </c>
      <c r="D878" s="3">
        <v>7.05500152E9</v>
      </c>
    </row>
    <row r="879">
      <c r="A879" s="5"/>
      <c r="B879" s="5"/>
      <c r="C879" s="5"/>
      <c r="D879" s="5"/>
    </row>
    <row r="880">
      <c r="A880" s="3" t="s">
        <v>1298</v>
      </c>
      <c r="B880" s="3" t="s">
        <v>1299</v>
      </c>
      <c r="C880" s="4" t="s">
        <v>1300</v>
      </c>
      <c r="D880" s="3">
        <v>2.268202164E9</v>
      </c>
    </row>
    <row r="881">
      <c r="A881" s="5"/>
      <c r="B881" s="5"/>
      <c r="C881" s="5"/>
      <c r="D881" s="5"/>
    </row>
    <row r="882">
      <c r="A882" s="3" t="s">
        <v>1301</v>
      </c>
      <c r="B882" s="3" t="s">
        <v>1302</v>
      </c>
      <c r="C882" s="4" t="s">
        <v>1303</v>
      </c>
      <c r="D882" s="3">
        <v>6.47860747E8</v>
      </c>
    </row>
    <row r="883">
      <c r="A883" s="5"/>
      <c r="B883" s="5"/>
      <c r="C883" s="5"/>
      <c r="D883" s="5"/>
    </row>
    <row r="884">
      <c r="A884" s="3" t="s">
        <v>1304</v>
      </c>
      <c r="B884" s="3" t="s">
        <v>713</v>
      </c>
      <c r="C884" s="4" t="s">
        <v>1305</v>
      </c>
      <c r="D884" s="3">
        <v>4.165500586E9</v>
      </c>
    </row>
    <row r="885">
      <c r="A885" s="5"/>
      <c r="B885" s="5"/>
      <c r="C885" s="5"/>
      <c r="D885" s="5"/>
    </row>
    <row r="886">
      <c r="A886" s="3" t="s">
        <v>74</v>
      </c>
      <c r="B886" s="3" t="s">
        <v>1306</v>
      </c>
      <c r="C886" s="4" t="s">
        <v>1307</v>
      </c>
      <c r="D886" s="3">
        <v>2.899433865E9</v>
      </c>
    </row>
    <row r="887">
      <c r="A887" s="5"/>
      <c r="B887" s="5"/>
      <c r="C887" s="5"/>
      <c r="D887" s="5"/>
    </row>
    <row r="888">
      <c r="A888" s="3" t="s">
        <v>164</v>
      </c>
      <c r="B888" s="3" t="s">
        <v>1308</v>
      </c>
      <c r="C888" s="4" t="s">
        <v>1309</v>
      </c>
      <c r="D888" s="3">
        <v>6.137001583E9</v>
      </c>
    </row>
    <row r="889">
      <c r="A889" s="5"/>
      <c r="B889" s="5"/>
      <c r="C889" s="5"/>
      <c r="D889" s="5"/>
    </row>
    <row r="890">
      <c r="A890" s="3" t="s">
        <v>1310</v>
      </c>
      <c r="B890" s="3" t="s">
        <v>1311</v>
      </c>
      <c r="C890" s="4" t="s">
        <v>1312</v>
      </c>
      <c r="D890" s="3">
        <v>6.479194629E9</v>
      </c>
    </row>
    <row r="891">
      <c r="A891" s="5"/>
      <c r="B891" s="5"/>
      <c r="C891" s="5"/>
      <c r="D891" s="5"/>
    </row>
    <row r="892">
      <c r="A892" s="3" t="s">
        <v>1313</v>
      </c>
      <c r="B892" s="3" t="s">
        <v>60</v>
      </c>
      <c r="C892" s="4" t="s">
        <v>1314</v>
      </c>
      <c r="D892" s="3">
        <v>9.057825533E9</v>
      </c>
    </row>
    <row r="893">
      <c r="A893" s="5"/>
      <c r="B893" s="5"/>
      <c r="C893" s="5"/>
      <c r="D893" s="5"/>
    </row>
    <row r="894">
      <c r="A894" s="3" t="s">
        <v>1315</v>
      </c>
      <c r="B894" s="3" t="s">
        <v>1316</v>
      </c>
      <c r="C894" s="4" t="s">
        <v>1317</v>
      </c>
      <c r="D894" s="3">
        <v>6.134070277E9</v>
      </c>
    </row>
    <row r="895">
      <c r="A895" s="5"/>
      <c r="B895" s="5"/>
      <c r="C895" s="5"/>
      <c r="D895" s="5"/>
    </row>
    <row r="896">
      <c r="A896" s="3" t="s">
        <v>1318</v>
      </c>
      <c r="B896" s="3" t="s">
        <v>1319</v>
      </c>
      <c r="C896" s="4" t="s">
        <v>1320</v>
      </c>
      <c r="D896" s="3">
        <v>6.472064363E9</v>
      </c>
    </row>
    <row r="897">
      <c r="A897" s="5"/>
      <c r="B897" s="5"/>
      <c r="C897" s="5"/>
      <c r="D897" s="5"/>
    </row>
    <row r="898">
      <c r="A898" s="3" t="s">
        <v>1321</v>
      </c>
      <c r="B898" s="3" t="s">
        <v>1322</v>
      </c>
      <c r="C898" s="4" t="s">
        <v>1323</v>
      </c>
      <c r="D898" s="3">
        <v>6.478654225E9</v>
      </c>
    </row>
    <row r="899">
      <c r="A899" s="5"/>
      <c r="B899" s="5"/>
      <c r="C899" s="5"/>
      <c r="D899" s="5"/>
    </row>
    <row r="900">
      <c r="A900" s="3" t="s">
        <v>1324</v>
      </c>
      <c r="B900" s="3" t="s">
        <v>1325</v>
      </c>
      <c r="C900" s="4" t="s">
        <v>1326</v>
      </c>
      <c r="D900" s="3">
        <v>6.47299121E9</v>
      </c>
    </row>
    <row r="901">
      <c r="A901" s="5"/>
      <c r="B901" s="5"/>
      <c r="C901" s="5"/>
      <c r="D901" s="5"/>
    </row>
    <row r="902">
      <c r="A902" s="3" t="s">
        <v>1327</v>
      </c>
      <c r="B902" s="3" t="s">
        <v>1328</v>
      </c>
      <c r="C902" s="4" t="s">
        <v>1329</v>
      </c>
      <c r="D902" s="3">
        <v>2.892214094E9</v>
      </c>
    </row>
    <row r="903">
      <c r="A903" s="5"/>
      <c r="B903" s="5"/>
      <c r="C903" s="5"/>
      <c r="D903" s="5"/>
    </row>
    <row r="904">
      <c r="A904" s="3" t="s">
        <v>1330</v>
      </c>
      <c r="B904" s="3" t="s">
        <v>1331</v>
      </c>
      <c r="C904" s="4" t="s">
        <v>1332</v>
      </c>
      <c r="D904" s="3">
        <v>9.05242498E9</v>
      </c>
    </row>
    <row r="905">
      <c r="A905" s="5"/>
      <c r="B905" s="5"/>
      <c r="C905" s="5"/>
      <c r="D905" s="5"/>
    </row>
    <row r="906">
      <c r="A906" s="3" t="s">
        <v>1333</v>
      </c>
      <c r="B906" s="3" t="s">
        <v>1334</v>
      </c>
      <c r="C906" s="4" t="s">
        <v>1335</v>
      </c>
      <c r="D906" s="3">
        <v>1.4084385726E10</v>
      </c>
    </row>
    <row r="907">
      <c r="A907" s="5"/>
      <c r="B907" s="5"/>
      <c r="C907" s="5"/>
      <c r="D907" s="5"/>
    </row>
    <row r="908">
      <c r="A908" s="3" t="s">
        <v>1336</v>
      </c>
      <c r="B908" s="3" t="s">
        <v>1337</v>
      </c>
      <c r="C908" s="4" t="s">
        <v>1338</v>
      </c>
      <c r="D908" s="3">
        <v>2.899832536E9</v>
      </c>
    </row>
    <row r="909">
      <c r="A909" s="5"/>
      <c r="B909" s="5"/>
      <c r="C909" s="5"/>
      <c r="D909" s="5"/>
    </row>
    <row r="910">
      <c r="A910" s="3" t="s">
        <v>1339</v>
      </c>
      <c r="B910" s="3" t="s">
        <v>1340</v>
      </c>
      <c r="C910" s="4" t="s">
        <v>1341</v>
      </c>
      <c r="D910" s="3" t="s">
        <v>1342</v>
      </c>
    </row>
    <row r="911">
      <c r="A911" s="5"/>
      <c r="B911" s="5"/>
      <c r="C911" s="5"/>
      <c r="D911" s="5"/>
    </row>
    <row r="912">
      <c r="A912" s="3" t="s">
        <v>1343</v>
      </c>
      <c r="B912" s="3" t="s">
        <v>1344</v>
      </c>
      <c r="C912" s="4" t="s">
        <v>1345</v>
      </c>
      <c r="D912" s="3" t="s">
        <v>1346</v>
      </c>
    </row>
    <row r="913">
      <c r="A913" s="5"/>
      <c r="B913" s="5"/>
      <c r="C913" s="5"/>
      <c r="D913" s="5"/>
    </row>
    <row r="914">
      <c r="A914" s="3" t="s">
        <v>1347</v>
      </c>
      <c r="B914" s="3" t="s">
        <v>1348</v>
      </c>
      <c r="C914" s="4" t="s">
        <v>1349</v>
      </c>
      <c r="D914" s="3" t="s">
        <v>1350</v>
      </c>
    </row>
    <row r="915">
      <c r="A915" s="5"/>
      <c r="B915" s="5"/>
      <c r="C915" s="5"/>
      <c r="D915" s="5"/>
    </row>
    <row r="916">
      <c r="A916" s="3" t="s">
        <v>1351</v>
      </c>
      <c r="B916" s="3" t="s">
        <v>1352</v>
      </c>
      <c r="C916" s="4" t="s">
        <v>1353</v>
      </c>
      <c r="D916" s="3" t="s">
        <v>1354</v>
      </c>
    </row>
    <row r="917">
      <c r="A917" s="5"/>
      <c r="B917" s="5"/>
      <c r="C917" s="5"/>
      <c r="D917" s="5"/>
    </row>
    <row r="918">
      <c r="A918" s="3" t="s">
        <v>1355</v>
      </c>
      <c r="B918" s="3" t="s">
        <v>1356</v>
      </c>
      <c r="C918" s="4" t="s">
        <v>1357</v>
      </c>
      <c r="D918" s="3" t="s">
        <v>1358</v>
      </c>
    </row>
    <row r="919">
      <c r="A919" s="5"/>
      <c r="B919" s="5"/>
      <c r="C919" s="5"/>
      <c r="D919" s="5"/>
    </row>
    <row r="920">
      <c r="A920" s="3" t="s">
        <v>1359</v>
      </c>
      <c r="B920" s="3" t="s">
        <v>1360</v>
      </c>
      <c r="C920" s="4" t="s">
        <v>1361</v>
      </c>
      <c r="D920" s="3" t="s">
        <v>1362</v>
      </c>
    </row>
    <row r="921">
      <c r="A921" s="5"/>
      <c r="B921" s="5"/>
      <c r="C921" s="5"/>
      <c r="D921" s="5"/>
    </row>
    <row r="922">
      <c r="A922" s="3" t="s">
        <v>1363</v>
      </c>
      <c r="B922" s="3" t="s">
        <v>1364</v>
      </c>
      <c r="C922" s="4" t="s">
        <v>1365</v>
      </c>
      <c r="D922" s="3" t="s">
        <v>1366</v>
      </c>
    </row>
    <row r="923">
      <c r="A923" s="5"/>
      <c r="B923" s="5"/>
      <c r="C923" s="5"/>
      <c r="D923" s="5"/>
    </row>
    <row r="924">
      <c r="A924" s="3" t="s">
        <v>1367</v>
      </c>
      <c r="B924" s="3" t="s">
        <v>1368</v>
      </c>
      <c r="C924" s="4" t="s">
        <v>1369</v>
      </c>
      <c r="D924" s="3" t="s">
        <v>1370</v>
      </c>
    </row>
    <row r="925">
      <c r="A925" s="5"/>
      <c r="B925" s="5"/>
      <c r="C925" s="5"/>
      <c r="D925" s="5"/>
    </row>
    <row r="926">
      <c r="A926" s="3" t="s">
        <v>1371</v>
      </c>
      <c r="B926" s="3" t="s">
        <v>1372</v>
      </c>
      <c r="C926" s="4" t="s">
        <v>1373</v>
      </c>
      <c r="D926" s="3" t="s">
        <v>1374</v>
      </c>
    </row>
    <row r="927">
      <c r="A927" s="5"/>
      <c r="B927" s="5"/>
      <c r="C927" s="5"/>
      <c r="D927" s="5"/>
    </row>
    <row r="928">
      <c r="A928" s="3" t="s">
        <v>1375</v>
      </c>
      <c r="B928" s="3" t="s">
        <v>1376</v>
      </c>
      <c r="C928" s="4" t="s">
        <v>1377</v>
      </c>
      <c r="D928" s="3" t="s">
        <v>1378</v>
      </c>
    </row>
    <row r="929">
      <c r="A929" s="5"/>
      <c r="B929" s="5"/>
      <c r="C929" s="5"/>
      <c r="D929" s="5"/>
    </row>
    <row r="930">
      <c r="A930" s="3" t="s">
        <v>62</v>
      </c>
      <c r="B930" s="3" t="s">
        <v>1379</v>
      </c>
      <c r="C930" s="4" t="s">
        <v>1380</v>
      </c>
      <c r="D930" s="3" t="s">
        <v>1381</v>
      </c>
    </row>
    <row r="931">
      <c r="A931" s="5"/>
      <c r="B931" s="5"/>
      <c r="C931" s="5"/>
      <c r="D931" s="5"/>
    </row>
    <row r="932">
      <c r="A932" s="3" t="s">
        <v>1382</v>
      </c>
      <c r="B932" s="3" t="s">
        <v>1383</v>
      </c>
      <c r="C932" s="4" t="s">
        <v>1384</v>
      </c>
      <c r="D932" s="3" t="s">
        <v>1385</v>
      </c>
    </row>
    <row r="933">
      <c r="A933" s="5"/>
      <c r="B933" s="5"/>
      <c r="C933" s="5"/>
      <c r="D933" s="5"/>
    </row>
    <row r="934">
      <c r="A934" s="3" t="s">
        <v>1386</v>
      </c>
      <c r="B934" s="3" t="s">
        <v>1387</v>
      </c>
      <c r="C934" s="4" t="s">
        <v>1388</v>
      </c>
      <c r="D934" s="3" t="s">
        <v>1389</v>
      </c>
    </row>
    <row r="935">
      <c r="A935" s="5"/>
      <c r="B935" s="5"/>
      <c r="C935" s="5"/>
      <c r="D935" s="5"/>
    </row>
    <row r="936">
      <c r="A936" s="3" t="s">
        <v>1390</v>
      </c>
      <c r="B936" s="3" t="s">
        <v>1391</v>
      </c>
      <c r="C936" s="4" t="s">
        <v>1392</v>
      </c>
      <c r="D936" s="3" t="s">
        <v>1393</v>
      </c>
    </row>
    <row r="937">
      <c r="A937" s="5"/>
      <c r="B937" s="5"/>
      <c r="C937" s="5"/>
      <c r="D937" s="5"/>
    </row>
    <row r="938">
      <c r="A938" s="3" t="s">
        <v>1394</v>
      </c>
      <c r="B938" s="3" t="s">
        <v>1395</v>
      </c>
      <c r="C938" s="4" t="s">
        <v>1396</v>
      </c>
      <c r="D938" s="3" t="s">
        <v>1397</v>
      </c>
    </row>
    <row r="939">
      <c r="A939" s="5"/>
      <c r="B939" s="5"/>
      <c r="C939" s="5"/>
      <c r="D939" s="5"/>
    </row>
    <row r="940">
      <c r="A940" s="3" t="s">
        <v>1398</v>
      </c>
      <c r="B940" s="3" t="s">
        <v>1399</v>
      </c>
      <c r="C940" s="4" t="s">
        <v>1400</v>
      </c>
      <c r="D940" s="3" t="s">
        <v>1401</v>
      </c>
    </row>
    <row r="941">
      <c r="A941" s="5"/>
      <c r="B941" s="5"/>
      <c r="C941" s="5"/>
      <c r="D941" s="5"/>
    </row>
    <row r="942">
      <c r="A942" s="3" t="s">
        <v>1402</v>
      </c>
      <c r="B942" s="3" t="s">
        <v>363</v>
      </c>
      <c r="C942" s="4" t="s">
        <v>1403</v>
      </c>
      <c r="D942" s="3" t="s">
        <v>1404</v>
      </c>
    </row>
    <row r="943">
      <c r="A943" s="5"/>
      <c r="B943" s="5"/>
      <c r="C943" s="5"/>
      <c r="D943" s="5"/>
    </row>
    <row r="944">
      <c r="A944" s="3" t="s">
        <v>1405</v>
      </c>
      <c r="B944" s="3" t="s">
        <v>1406</v>
      </c>
      <c r="C944" s="4" t="s">
        <v>1407</v>
      </c>
      <c r="D944" s="3" t="s">
        <v>1408</v>
      </c>
    </row>
    <row r="945">
      <c r="A945" s="5"/>
      <c r="B945" s="5"/>
      <c r="C945" s="5"/>
      <c r="D945" s="5"/>
    </row>
    <row r="946">
      <c r="A946" s="3" t="s">
        <v>1409</v>
      </c>
      <c r="B946" s="3" t="s">
        <v>1410</v>
      </c>
      <c r="C946" s="4" t="s">
        <v>1411</v>
      </c>
      <c r="D946" s="3" t="s">
        <v>1412</v>
      </c>
    </row>
    <row r="947">
      <c r="A947" s="5"/>
      <c r="B947" s="5"/>
      <c r="C947" s="5"/>
      <c r="D947" s="5"/>
    </row>
    <row r="948">
      <c r="A948" s="3" t="s">
        <v>1413</v>
      </c>
      <c r="B948" s="3" t="s">
        <v>1414</v>
      </c>
      <c r="C948" s="4" t="s">
        <v>1415</v>
      </c>
      <c r="D948" s="3" t="s">
        <v>1416</v>
      </c>
    </row>
    <row r="949">
      <c r="A949" s="5"/>
      <c r="B949" s="5"/>
      <c r="C949" s="5"/>
      <c r="D949" s="5"/>
    </row>
    <row r="950">
      <c r="A950" s="3" t="s">
        <v>1417</v>
      </c>
      <c r="B950" s="3" t="s">
        <v>1418</v>
      </c>
      <c r="C950" s="4" t="s">
        <v>1419</v>
      </c>
      <c r="D950" s="3" t="s">
        <v>1420</v>
      </c>
    </row>
    <row r="951">
      <c r="A951" s="5"/>
      <c r="B951" s="5"/>
      <c r="C951" s="5"/>
      <c r="D951" s="5"/>
    </row>
    <row r="952">
      <c r="A952" s="3" t="s">
        <v>1421</v>
      </c>
      <c r="B952" s="3" t="s">
        <v>1422</v>
      </c>
      <c r="C952" s="4" t="s">
        <v>1423</v>
      </c>
      <c r="D952" s="3" t="s">
        <v>1424</v>
      </c>
    </row>
    <row r="953">
      <c r="A953" s="5"/>
      <c r="B953" s="5"/>
      <c r="C953" s="5"/>
      <c r="D953" s="5"/>
    </row>
    <row r="954">
      <c r="A954" s="3" t="s">
        <v>1425</v>
      </c>
      <c r="B954" s="3" t="s">
        <v>428</v>
      </c>
      <c r="C954" s="4" t="s">
        <v>1426</v>
      </c>
      <c r="D954" s="3" t="s">
        <v>1427</v>
      </c>
    </row>
    <row r="955">
      <c r="A955" s="5"/>
      <c r="B955" s="5"/>
      <c r="C955" s="5"/>
      <c r="D955" s="5"/>
    </row>
    <row r="956">
      <c r="A956" s="3" t="s">
        <v>1428</v>
      </c>
      <c r="B956" s="3" t="s">
        <v>1429</v>
      </c>
      <c r="C956" s="4" t="s">
        <v>1430</v>
      </c>
      <c r="D956" s="3" t="s">
        <v>1431</v>
      </c>
    </row>
    <row r="957">
      <c r="A957" s="5"/>
      <c r="B957" s="5"/>
      <c r="C957" s="5"/>
      <c r="D957" s="5"/>
    </row>
    <row r="958">
      <c r="A958" s="3" t="s">
        <v>1432</v>
      </c>
      <c r="B958" s="3" t="s">
        <v>1433</v>
      </c>
      <c r="C958" s="4" t="s">
        <v>1434</v>
      </c>
      <c r="D958" s="3" t="s">
        <v>1435</v>
      </c>
    </row>
    <row r="959">
      <c r="A959" s="5"/>
      <c r="B959" s="5"/>
      <c r="C959" s="5"/>
      <c r="D959" s="5"/>
    </row>
    <row r="960">
      <c r="A960" s="3" t="s">
        <v>1436</v>
      </c>
      <c r="B960" s="3" t="s">
        <v>1437</v>
      </c>
      <c r="C960" s="4" t="s">
        <v>1438</v>
      </c>
      <c r="D960" s="3" t="s">
        <v>1439</v>
      </c>
    </row>
    <row r="961">
      <c r="A961" s="5"/>
      <c r="B961" s="5"/>
      <c r="C961" s="5"/>
      <c r="D961" s="5"/>
    </row>
    <row r="962">
      <c r="A962" s="3" t="s">
        <v>1440</v>
      </c>
      <c r="B962" s="3" t="s">
        <v>1441</v>
      </c>
      <c r="C962" s="4" t="s">
        <v>1442</v>
      </c>
      <c r="D962" s="3" t="s">
        <v>1443</v>
      </c>
    </row>
    <row r="963">
      <c r="A963" s="5"/>
      <c r="B963" s="5"/>
      <c r="C963" s="5"/>
      <c r="D963" s="5"/>
    </row>
    <row r="964">
      <c r="A964" s="3" t="s">
        <v>1444</v>
      </c>
      <c r="B964" s="3" t="s">
        <v>1445</v>
      </c>
      <c r="C964" s="4" t="s">
        <v>1446</v>
      </c>
      <c r="D964" s="3" t="s">
        <v>1447</v>
      </c>
    </row>
    <row r="965">
      <c r="A965" s="5"/>
      <c r="B965" s="5"/>
      <c r="C965" s="5"/>
      <c r="D965" s="5"/>
    </row>
    <row r="966">
      <c r="A966" s="3" t="s">
        <v>1448</v>
      </c>
      <c r="B966" s="3" t="s">
        <v>1449</v>
      </c>
      <c r="C966" s="4" t="s">
        <v>1450</v>
      </c>
      <c r="D966" s="3" t="s">
        <v>1451</v>
      </c>
    </row>
    <row r="967">
      <c r="A967" s="5"/>
      <c r="B967" s="5"/>
      <c r="C967" s="5"/>
      <c r="D967" s="5"/>
    </row>
    <row r="968">
      <c r="A968" s="3" t="s">
        <v>1452</v>
      </c>
      <c r="B968" s="3" t="s">
        <v>1453</v>
      </c>
      <c r="C968" s="4" t="s">
        <v>1454</v>
      </c>
      <c r="D968" s="3" t="s">
        <v>1455</v>
      </c>
    </row>
    <row r="969">
      <c r="A969" s="5"/>
      <c r="B969" s="5"/>
      <c r="C969" s="5"/>
      <c r="D969" s="5"/>
    </row>
    <row r="970">
      <c r="A970" s="3" t="s">
        <v>1456</v>
      </c>
      <c r="B970" s="3" t="s">
        <v>1457</v>
      </c>
      <c r="C970" s="4" t="s">
        <v>1458</v>
      </c>
      <c r="D970" s="3" t="s">
        <v>1459</v>
      </c>
    </row>
    <row r="971">
      <c r="A971" s="5"/>
      <c r="B971" s="5"/>
      <c r="C971" s="5"/>
      <c r="D971" s="5"/>
    </row>
    <row r="972">
      <c r="A972" s="3" t="s">
        <v>1460</v>
      </c>
      <c r="B972" s="3" t="s">
        <v>1461</v>
      </c>
      <c r="C972" s="4" t="s">
        <v>1462</v>
      </c>
      <c r="D972" s="3" t="s">
        <v>1463</v>
      </c>
    </row>
    <row r="973">
      <c r="A973" s="5"/>
      <c r="B973" s="5"/>
      <c r="C973" s="5"/>
      <c r="D973" s="5"/>
    </row>
    <row r="974">
      <c r="A974" s="3" t="s">
        <v>1464</v>
      </c>
      <c r="B974" s="3" t="s">
        <v>1465</v>
      </c>
      <c r="C974" s="4" t="s">
        <v>1466</v>
      </c>
      <c r="D974" s="3" t="s">
        <v>1467</v>
      </c>
    </row>
    <row r="975">
      <c r="A975" s="5"/>
      <c r="B975" s="5"/>
      <c r="C975" s="5"/>
      <c r="D975" s="5"/>
    </row>
    <row r="976">
      <c r="A976" s="3" t="s">
        <v>1468</v>
      </c>
      <c r="B976" s="3" t="s">
        <v>1469</v>
      </c>
      <c r="C976" s="4" t="s">
        <v>1470</v>
      </c>
      <c r="D976" s="3" t="s">
        <v>1471</v>
      </c>
    </row>
    <row r="977">
      <c r="A977" s="5"/>
      <c r="B977" s="5"/>
      <c r="C977" s="5"/>
      <c r="D977" s="5"/>
    </row>
    <row r="978">
      <c r="A978" s="3" t="s">
        <v>1472</v>
      </c>
      <c r="B978" s="3" t="s">
        <v>753</v>
      </c>
      <c r="C978" s="4" t="s">
        <v>1473</v>
      </c>
      <c r="D978" s="3" t="s">
        <v>1474</v>
      </c>
    </row>
    <row r="979">
      <c r="A979" s="5"/>
      <c r="B979" s="5"/>
      <c r="C979" s="5"/>
      <c r="D979" s="5"/>
    </row>
    <row r="980">
      <c r="A980" s="3" t="s">
        <v>1475</v>
      </c>
      <c r="B980" s="3" t="s">
        <v>1476</v>
      </c>
      <c r="C980" s="4" t="s">
        <v>1477</v>
      </c>
      <c r="D980" s="3" t="s">
        <v>1478</v>
      </c>
    </row>
    <row r="981">
      <c r="A981" s="5"/>
      <c r="B981" s="5"/>
      <c r="C981" s="5"/>
      <c r="D981" s="5"/>
    </row>
    <row r="982">
      <c r="A982" s="3" t="s">
        <v>1479</v>
      </c>
      <c r="B982" s="3" t="s">
        <v>167</v>
      </c>
      <c r="C982" s="4" t="s">
        <v>1480</v>
      </c>
      <c r="D982" s="3" t="s">
        <v>1481</v>
      </c>
    </row>
    <row r="983">
      <c r="A983" s="5"/>
      <c r="B983" s="5"/>
      <c r="C983" s="5"/>
      <c r="D983" s="5"/>
    </row>
    <row r="984">
      <c r="A984" s="3" t="s">
        <v>1482</v>
      </c>
      <c r="B984" s="3" t="s">
        <v>1483</v>
      </c>
      <c r="C984" s="4" t="s">
        <v>1484</v>
      </c>
      <c r="D984" s="3" t="s">
        <v>1485</v>
      </c>
    </row>
    <row r="985">
      <c r="A985" s="5"/>
      <c r="B985" s="5"/>
      <c r="C985" s="5"/>
      <c r="D985" s="5"/>
    </row>
    <row r="986">
      <c r="A986" s="3" t="s">
        <v>1486</v>
      </c>
      <c r="B986" s="3" t="s">
        <v>1487</v>
      </c>
      <c r="C986" s="4" t="s">
        <v>1488</v>
      </c>
      <c r="D986" s="3" t="s">
        <v>1489</v>
      </c>
    </row>
    <row r="987">
      <c r="A987" s="5"/>
      <c r="B987" s="5"/>
      <c r="C987" s="5"/>
      <c r="D987" s="5"/>
    </row>
    <row r="988">
      <c r="A988" s="3" t="s">
        <v>936</v>
      </c>
      <c r="B988" s="3" t="s">
        <v>753</v>
      </c>
      <c r="C988" s="4" t="s">
        <v>1490</v>
      </c>
      <c r="D988" s="3" t="s">
        <v>1491</v>
      </c>
    </row>
    <row r="989">
      <c r="A989" s="5"/>
      <c r="B989" s="5"/>
      <c r="C989" s="5"/>
      <c r="D989" s="5"/>
    </row>
    <row r="990">
      <c r="A990" s="3" t="s">
        <v>1492</v>
      </c>
      <c r="B990" s="3" t="s">
        <v>1493</v>
      </c>
      <c r="C990" s="4" t="s">
        <v>1494</v>
      </c>
      <c r="D990" s="3" t="s">
        <v>1495</v>
      </c>
    </row>
    <row r="991">
      <c r="A991" s="5"/>
      <c r="B991" s="5"/>
      <c r="C991" s="5"/>
      <c r="D991" s="5"/>
    </row>
    <row r="992">
      <c r="A992" s="3" t="s">
        <v>1496</v>
      </c>
      <c r="B992" s="3" t="s">
        <v>1497</v>
      </c>
      <c r="C992" s="4" t="s">
        <v>1498</v>
      </c>
      <c r="D992" s="3">
        <v>6.475102606E9</v>
      </c>
    </row>
    <row r="993">
      <c r="A993" s="5"/>
      <c r="B993" s="5"/>
      <c r="C993" s="5"/>
      <c r="D993" s="5"/>
    </row>
    <row r="994">
      <c r="A994" s="3" t="s">
        <v>1499</v>
      </c>
      <c r="B994" s="3" t="s">
        <v>1500</v>
      </c>
      <c r="C994" s="4" t="s">
        <v>1501</v>
      </c>
      <c r="D994" s="3" t="s">
        <v>1502</v>
      </c>
    </row>
    <row r="995">
      <c r="A995" s="5"/>
      <c r="B995" s="5"/>
      <c r="C995" s="5"/>
      <c r="D995" s="5"/>
    </row>
    <row r="996">
      <c r="A996" s="3" t="s">
        <v>1503</v>
      </c>
      <c r="B996" s="3" t="s">
        <v>1504</v>
      </c>
      <c r="C996" s="4" t="s">
        <v>1505</v>
      </c>
      <c r="D996" s="3">
        <v>4.375574821E9</v>
      </c>
    </row>
    <row r="997">
      <c r="A997" s="5"/>
      <c r="B997" s="5"/>
      <c r="C997" s="5"/>
      <c r="D997" s="5"/>
    </row>
    <row r="998">
      <c r="A998" s="3" t="s">
        <v>1506</v>
      </c>
      <c r="B998" s="3" t="s">
        <v>1507</v>
      </c>
      <c r="C998" s="4" t="s">
        <v>1508</v>
      </c>
      <c r="D998" s="3">
        <v>4.375568387E9</v>
      </c>
    </row>
    <row r="999">
      <c r="A999" s="5"/>
      <c r="B999" s="5"/>
      <c r="C999" s="5"/>
      <c r="D999" s="5"/>
    </row>
    <row r="1000">
      <c r="A1000" s="3" t="s">
        <v>1509</v>
      </c>
      <c r="B1000" s="3" t="s">
        <v>1510</v>
      </c>
      <c r="C1000" s="4" t="s">
        <v>1511</v>
      </c>
      <c r="D1000" s="3">
        <v>6.475220452E9</v>
      </c>
    </row>
    <row r="1001">
      <c r="A1001" s="5"/>
      <c r="B1001" s="5"/>
      <c r="C1001" s="5"/>
      <c r="D1001" s="5"/>
    </row>
    <row r="1002">
      <c r="A1002" s="3" t="s">
        <v>1512</v>
      </c>
      <c r="B1002" s="3" t="s">
        <v>1513</v>
      </c>
      <c r="C1002" s="4" t="s">
        <v>1514</v>
      </c>
      <c r="D1002" s="3">
        <v>6.479391429E9</v>
      </c>
    </row>
    <row r="1003">
      <c r="A1003" s="5"/>
      <c r="B1003" s="5"/>
      <c r="C1003" s="5"/>
      <c r="D1003" s="5"/>
    </row>
    <row r="1004">
      <c r="A1004" s="3" t="s">
        <v>1058</v>
      </c>
      <c r="B1004" s="3" t="s">
        <v>4</v>
      </c>
      <c r="C1004" s="4" t="s">
        <v>1515</v>
      </c>
      <c r="D1004" s="3">
        <v>3.653233715E9</v>
      </c>
    </row>
    <row r="1005">
      <c r="A1005" s="5"/>
      <c r="B1005" s="5"/>
      <c r="C1005" s="5"/>
      <c r="D1005" s="5"/>
    </row>
    <row r="1006">
      <c r="A1006" s="3" t="s">
        <v>1516</v>
      </c>
      <c r="B1006" s="3" t="s">
        <v>1517</v>
      </c>
      <c r="C1006" s="4" t="s">
        <v>1518</v>
      </c>
      <c r="D1006" s="3">
        <v>6.475741733E9</v>
      </c>
    </row>
    <row r="1007">
      <c r="A1007" s="5"/>
      <c r="B1007" s="5"/>
      <c r="C1007" s="5"/>
      <c r="D1007" s="5"/>
    </row>
    <row r="1008">
      <c r="A1008" s="3" t="s">
        <v>1519</v>
      </c>
      <c r="B1008" s="3" t="s">
        <v>1520</v>
      </c>
      <c r="C1008" s="4" t="s">
        <v>1521</v>
      </c>
      <c r="D1008" s="3">
        <v>6.476136136E9</v>
      </c>
    </row>
    <row r="1009">
      <c r="A1009" s="5"/>
      <c r="B1009" s="5"/>
      <c r="C1009" s="5"/>
      <c r="D1009" s="5"/>
    </row>
    <row r="1010">
      <c r="A1010" s="3" t="s">
        <v>1522</v>
      </c>
      <c r="B1010" s="3" t="s">
        <v>1523</v>
      </c>
      <c r="C1010" s="4" t="s">
        <v>1524</v>
      </c>
      <c r="D1010" s="3" t="s">
        <v>1525</v>
      </c>
    </row>
    <row r="1011">
      <c r="A1011" s="5"/>
      <c r="B1011" s="5"/>
      <c r="C1011" s="5"/>
      <c r="D1011" s="5"/>
    </row>
    <row r="1012">
      <c r="A1012" s="3" t="s">
        <v>1526</v>
      </c>
      <c r="B1012" s="3" t="s">
        <v>1523</v>
      </c>
      <c r="C1012" s="4" t="s">
        <v>1527</v>
      </c>
      <c r="D1012" s="3">
        <v>6.47631854E9</v>
      </c>
    </row>
    <row r="1013">
      <c r="A1013" s="5"/>
      <c r="B1013" s="5"/>
      <c r="C1013" s="5"/>
      <c r="D1013" s="5"/>
    </row>
    <row r="1014">
      <c r="A1014" s="3" t="s">
        <v>1528</v>
      </c>
      <c r="B1014" s="3" t="s">
        <v>1529</v>
      </c>
      <c r="C1014" s="4" t="s">
        <v>1530</v>
      </c>
      <c r="D1014" s="3" t="s">
        <v>1531</v>
      </c>
    </row>
    <row r="1015">
      <c r="A1015" s="5"/>
      <c r="B1015" s="5"/>
      <c r="C1015" s="5"/>
      <c r="D1015" s="5"/>
    </row>
    <row r="1016">
      <c r="A1016" s="3" t="s">
        <v>1532</v>
      </c>
      <c r="B1016" s="3" t="s">
        <v>1533</v>
      </c>
      <c r="C1016" s="4" t="s">
        <v>1534</v>
      </c>
      <c r="D1016" s="3">
        <v>6.479857577E9</v>
      </c>
    </row>
    <row r="1017">
      <c r="A1017" s="5"/>
      <c r="B1017" s="5"/>
      <c r="C1017" s="5"/>
      <c r="D1017" s="5"/>
    </row>
    <row r="1018">
      <c r="A1018" s="3" t="s">
        <v>1535</v>
      </c>
      <c r="B1018" s="3" t="s">
        <v>1536</v>
      </c>
      <c r="C1018" s="4" t="s">
        <v>1537</v>
      </c>
      <c r="D1018" s="3">
        <v>4.165645893E9</v>
      </c>
    </row>
    <row r="1019">
      <c r="A1019" s="5"/>
      <c r="B1019" s="5"/>
      <c r="C1019" s="5"/>
      <c r="D1019" s="5"/>
    </row>
    <row r="1020">
      <c r="A1020" s="3" t="s">
        <v>591</v>
      </c>
      <c r="B1020" s="3" t="s">
        <v>1538</v>
      </c>
      <c r="C1020" s="4" t="s">
        <v>1539</v>
      </c>
      <c r="D1020" s="3">
        <v>2.893147923E9</v>
      </c>
    </row>
    <row r="1021">
      <c r="A1021" s="5"/>
      <c r="B1021" s="5"/>
      <c r="C1021" s="5"/>
      <c r="D1021" s="5"/>
    </row>
    <row r="1022">
      <c r="A1022" s="3" t="s">
        <v>1540</v>
      </c>
      <c r="B1022" s="3" t="s">
        <v>1541</v>
      </c>
      <c r="C1022" s="4" t="s">
        <v>1542</v>
      </c>
      <c r="D1022" s="3">
        <v>2.492880515E9</v>
      </c>
    </row>
    <row r="1023">
      <c r="A1023" s="5"/>
      <c r="B1023" s="5"/>
      <c r="C1023" s="5"/>
      <c r="D1023" s="5"/>
    </row>
    <row r="1024">
      <c r="A1024" s="3" t="s">
        <v>1543</v>
      </c>
      <c r="B1024" s="3" t="s">
        <v>22</v>
      </c>
      <c r="C1024" s="4" t="s">
        <v>1544</v>
      </c>
      <c r="D1024" s="3">
        <v>6.474623137E9</v>
      </c>
    </row>
    <row r="1025">
      <c r="A1025" s="5"/>
      <c r="B1025" s="5"/>
      <c r="C1025" s="5"/>
      <c r="D1025" s="5"/>
    </row>
    <row r="1026">
      <c r="A1026" s="3" t="s">
        <v>1545</v>
      </c>
      <c r="B1026" s="3" t="s">
        <v>1546</v>
      </c>
      <c r="C1026" s="4" t="s">
        <v>1547</v>
      </c>
      <c r="D1026" s="3">
        <v>4.163713428E9</v>
      </c>
    </row>
    <row r="1027">
      <c r="A1027" s="5"/>
      <c r="B1027" s="5"/>
      <c r="C1027" s="5"/>
      <c r="D1027" s="5"/>
    </row>
    <row r="1028">
      <c r="A1028" s="3" t="s">
        <v>1548</v>
      </c>
      <c r="B1028" s="3" t="s">
        <v>1549</v>
      </c>
      <c r="C1028" s="4" t="s">
        <v>1550</v>
      </c>
      <c r="D1028" s="3">
        <v>6.472936679E9</v>
      </c>
    </row>
    <row r="1029">
      <c r="A1029" s="5"/>
      <c r="B1029" s="5"/>
      <c r="C1029" s="5"/>
      <c r="D1029" s="5"/>
    </row>
    <row r="1030">
      <c r="A1030" s="3" t="s">
        <v>1551</v>
      </c>
      <c r="B1030" s="3" t="s">
        <v>1552</v>
      </c>
      <c r="C1030" s="4" t="s">
        <v>1553</v>
      </c>
      <c r="D1030" s="3">
        <v>6.474497602E9</v>
      </c>
    </row>
    <row r="1031">
      <c r="A1031" s="5"/>
      <c r="B1031" s="5"/>
      <c r="C1031" s="5"/>
      <c r="D1031" s="5"/>
    </row>
    <row r="1032">
      <c r="A1032" s="3" t="s">
        <v>1554</v>
      </c>
      <c r="B1032" s="3" t="s">
        <v>1555</v>
      </c>
      <c r="C1032" s="4" t="s">
        <v>1556</v>
      </c>
      <c r="D1032" s="3">
        <v>4.164003329E9</v>
      </c>
    </row>
    <row r="1033">
      <c r="A1033" s="5"/>
      <c r="B1033" s="5"/>
      <c r="C1033" s="5"/>
      <c r="D1033" s="5"/>
    </row>
    <row r="1034">
      <c r="A1034" s="3" t="s">
        <v>62</v>
      </c>
      <c r="B1034" s="3" t="s">
        <v>7</v>
      </c>
      <c r="C1034" s="3" t="s">
        <v>1557</v>
      </c>
      <c r="D1034" s="3">
        <v>6.476228017E9</v>
      </c>
    </row>
    <row r="1035">
      <c r="A1035" s="5"/>
      <c r="B1035" s="5"/>
      <c r="C1035" s="5"/>
      <c r="D1035" s="5"/>
    </row>
    <row r="1036">
      <c r="A1036" s="3" t="s">
        <v>116</v>
      </c>
      <c r="B1036" s="3" t="s">
        <v>1436</v>
      </c>
      <c r="C1036" s="4" t="s">
        <v>1558</v>
      </c>
      <c r="D1036" s="3" t="s">
        <v>1559</v>
      </c>
    </row>
    <row r="1037">
      <c r="A1037" s="5"/>
      <c r="B1037" s="5"/>
      <c r="C1037" s="5"/>
      <c r="D1037" s="5"/>
    </row>
    <row r="1038">
      <c r="A1038" s="3" t="s">
        <v>1560</v>
      </c>
      <c r="B1038" s="3" t="s">
        <v>1561</v>
      </c>
      <c r="C1038" s="4" t="s">
        <v>1562</v>
      </c>
      <c r="D1038" s="3">
        <v>6.473137327E9</v>
      </c>
    </row>
    <row r="1039">
      <c r="A1039" s="5"/>
      <c r="B1039" s="5"/>
      <c r="C1039" s="5"/>
      <c r="D1039" s="5"/>
    </row>
    <row r="1040">
      <c r="A1040" s="3" t="s">
        <v>1563</v>
      </c>
      <c r="B1040" s="3" t="s">
        <v>1564</v>
      </c>
      <c r="C1040" s="4" t="s">
        <v>1565</v>
      </c>
      <c r="D1040" s="3">
        <v>2.899806854E9</v>
      </c>
    </row>
    <row r="1041">
      <c r="A1041" s="5"/>
      <c r="B1041" s="5"/>
      <c r="C1041" s="5"/>
      <c r="D1041" s="5"/>
    </row>
    <row r="1042">
      <c r="A1042" s="3" t="s">
        <v>1566</v>
      </c>
      <c r="B1042" s="3" t="s">
        <v>1567</v>
      </c>
      <c r="C1042" s="4" t="s">
        <v>1568</v>
      </c>
      <c r="D1042" s="3">
        <v>4.164503622E9</v>
      </c>
    </row>
    <row r="1043">
      <c r="A1043" s="5"/>
      <c r="B1043" s="5"/>
      <c r="C1043" s="5"/>
      <c r="D1043" s="5"/>
    </row>
    <row r="1044">
      <c r="A1044" s="3" t="s">
        <v>116</v>
      </c>
      <c r="B1044" s="3" t="s">
        <v>1569</v>
      </c>
      <c r="C1044" s="4" t="s">
        <v>1570</v>
      </c>
      <c r="D1044" s="3">
        <v>6.477791342E9</v>
      </c>
    </row>
    <row r="1045">
      <c r="A1045" s="5"/>
      <c r="B1045" s="5"/>
      <c r="C1045" s="5"/>
      <c r="D1045" s="5"/>
    </row>
    <row r="1046">
      <c r="A1046" s="3" t="s">
        <v>345</v>
      </c>
      <c r="B1046" s="3" t="s">
        <v>1571</v>
      </c>
      <c r="C1046" s="4" t="s">
        <v>1572</v>
      </c>
      <c r="D1046" s="3">
        <v>6.476486347E9</v>
      </c>
    </row>
    <row r="1047">
      <c r="A1047" s="5"/>
      <c r="B1047" s="5"/>
      <c r="C1047" s="5"/>
      <c r="D1047" s="5"/>
    </row>
    <row r="1048">
      <c r="A1048" s="3" t="s">
        <v>1573</v>
      </c>
      <c r="B1048" s="3" t="s">
        <v>1574</v>
      </c>
      <c r="C1048" s="4" t="s">
        <v>1575</v>
      </c>
      <c r="D1048" s="3">
        <v>9.05616759E9</v>
      </c>
    </row>
    <row r="1049">
      <c r="A1049" s="5"/>
      <c r="B1049" s="5"/>
      <c r="C1049" s="5"/>
      <c r="D1049" s="5"/>
    </row>
    <row r="1050">
      <c r="A1050" s="3" t="s">
        <v>1576</v>
      </c>
      <c r="B1050" s="3" t="s">
        <v>1577</v>
      </c>
      <c r="C1050" s="4" t="s">
        <v>1578</v>
      </c>
      <c r="D1050" s="3">
        <v>6.476545352E9</v>
      </c>
    </row>
    <row r="1051">
      <c r="A1051" s="5"/>
      <c r="B1051" s="5"/>
      <c r="C1051" s="5"/>
      <c r="D1051" s="5"/>
    </row>
    <row r="1052">
      <c r="A1052" s="3" t="s">
        <v>1579</v>
      </c>
      <c r="B1052" s="3" t="s">
        <v>624</v>
      </c>
      <c r="C1052" s="4" t="s">
        <v>1580</v>
      </c>
      <c r="D1052" s="3">
        <v>4.162234544E9</v>
      </c>
    </row>
    <row r="1053">
      <c r="A1053" s="5"/>
      <c r="B1053" s="5"/>
      <c r="C1053" s="5"/>
      <c r="D1053" s="5"/>
    </row>
    <row r="1054">
      <c r="A1054" s="3" t="s">
        <v>1066</v>
      </c>
      <c r="B1054" s="3" t="s">
        <v>1067</v>
      </c>
      <c r="C1054" s="4" t="s">
        <v>1581</v>
      </c>
      <c r="D1054" s="3">
        <v>9.054300444E9</v>
      </c>
    </row>
    <row r="1055">
      <c r="A1055" s="5"/>
      <c r="B1055" s="5"/>
      <c r="C1055" s="5"/>
      <c r="D1055" s="5"/>
    </row>
    <row r="1056">
      <c r="A1056" s="3" t="s">
        <v>1582</v>
      </c>
      <c r="B1056" s="3" t="s">
        <v>1583</v>
      </c>
      <c r="C1056" s="4" t="s">
        <v>1584</v>
      </c>
      <c r="D1056" s="3">
        <v>2.265074238E9</v>
      </c>
    </row>
    <row r="1057">
      <c r="A1057" s="5"/>
      <c r="B1057" s="5"/>
      <c r="C1057" s="5"/>
      <c r="D1057" s="5"/>
    </row>
    <row r="1058">
      <c r="A1058" s="3" t="s">
        <v>1585</v>
      </c>
      <c r="B1058" s="3" t="s">
        <v>1586</v>
      </c>
      <c r="C1058" s="4" t="s">
        <v>1587</v>
      </c>
      <c r="D1058" s="3">
        <v>4.372699755E9</v>
      </c>
    </row>
    <row r="1059">
      <c r="A1059" s="5"/>
      <c r="B1059" s="5"/>
      <c r="C1059" s="5"/>
      <c r="D1059" s="5"/>
    </row>
    <row r="1060">
      <c r="A1060" s="3" t="s">
        <v>1588</v>
      </c>
      <c r="B1060" s="3" t="s">
        <v>1589</v>
      </c>
      <c r="C1060" s="4" t="s">
        <v>1590</v>
      </c>
      <c r="D1060" s="3">
        <v>6.472870599E9</v>
      </c>
    </row>
    <row r="1061">
      <c r="A1061" s="5"/>
      <c r="B1061" s="5"/>
      <c r="C1061" s="5"/>
      <c r="D1061" s="5"/>
    </row>
    <row r="1062">
      <c r="A1062" s="3" t="s">
        <v>1591</v>
      </c>
      <c r="B1062" s="3" t="s">
        <v>1592</v>
      </c>
      <c r="C1062" s="4" t="s">
        <v>1593</v>
      </c>
      <c r="D1062" s="3">
        <v>4.168221268E9</v>
      </c>
    </row>
    <row r="1063">
      <c r="A1063" s="5"/>
      <c r="B1063" s="5"/>
      <c r="C1063" s="5"/>
      <c r="D1063" s="5"/>
    </row>
    <row r="1064">
      <c r="A1064" s="3" t="s">
        <v>1594</v>
      </c>
      <c r="B1064" s="3" t="s">
        <v>1595</v>
      </c>
      <c r="C1064" s="4" t="s">
        <v>1596</v>
      </c>
      <c r="D1064" s="3">
        <v>6.479999999E9</v>
      </c>
    </row>
    <row r="1065">
      <c r="A1065" s="5"/>
      <c r="B1065" s="5"/>
      <c r="C1065" s="5"/>
      <c r="D1065" s="5"/>
    </row>
    <row r="1066">
      <c r="A1066" s="3" t="s">
        <v>1597</v>
      </c>
      <c r="B1066" s="3" t="s">
        <v>1598</v>
      </c>
      <c r="C1066" s="4" t="s">
        <v>1599</v>
      </c>
      <c r="D1066" s="3">
        <v>4.162941574E9</v>
      </c>
    </row>
    <row r="1067">
      <c r="A1067" s="5"/>
      <c r="B1067" s="5"/>
      <c r="C1067" s="5"/>
      <c r="D1067" s="5"/>
    </row>
    <row r="1068">
      <c r="A1068" s="3" t="s">
        <v>1600</v>
      </c>
      <c r="B1068" s="3" t="s">
        <v>1601</v>
      </c>
      <c r="C1068" s="4" t="s">
        <v>1602</v>
      </c>
      <c r="D1068" s="3">
        <v>6.479859092E9</v>
      </c>
    </row>
    <row r="1069">
      <c r="A1069" s="5"/>
      <c r="B1069" s="5"/>
      <c r="C1069" s="5"/>
      <c r="D1069" s="5"/>
    </row>
    <row r="1070">
      <c r="A1070" s="3" t="s">
        <v>1603</v>
      </c>
      <c r="B1070" s="3" t="s">
        <v>1604</v>
      </c>
      <c r="C1070" s="4" t="s">
        <v>1605</v>
      </c>
      <c r="D1070" s="3">
        <v>7.059319951E9</v>
      </c>
    </row>
    <row r="1071">
      <c r="A1071" s="5"/>
      <c r="B1071" s="5"/>
      <c r="C1071" s="5"/>
      <c r="D1071" s="5"/>
    </row>
    <row r="1072">
      <c r="A1072" s="3" t="s">
        <v>1606</v>
      </c>
      <c r="B1072" s="3" t="s">
        <v>1607</v>
      </c>
      <c r="C1072" s="4" t="s">
        <v>1608</v>
      </c>
      <c r="D1072" s="3">
        <v>6.474046168E9</v>
      </c>
    </row>
    <row r="1073">
      <c r="A1073" s="5"/>
      <c r="B1073" s="5"/>
      <c r="C1073" s="5"/>
      <c r="D1073" s="5"/>
    </row>
    <row r="1074">
      <c r="A1074" s="3" t="s">
        <v>1609</v>
      </c>
      <c r="B1074" s="3" t="s">
        <v>1610</v>
      </c>
      <c r="C1074" s="4" t="s">
        <v>1611</v>
      </c>
      <c r="D1074" s="3">
        <v>4.376734731E9</v>
      </c>
    </row>
    <row r="1075">
      <c r="A1075" s="5"/>
      <c r="B1075" s="5"/>
      <c r="C1075" s="5"/>
      <c r="D1075" s="5"/>
    </row>
    <row r="1076">
      <c r="A1076" s="3" t="s">
        <v>1612</v>
      </c>
      <c r="B1076" s="3" t="s">
        <v>1613</v>
      </c>
      <c r="C1076" s="4" t="s">
        <v>1614</v>
      </c>
      <c r="D1076" s="3">
        <v>4.379977701E9</v>
      </c>
    </row>
    <row r="1077">
      <c r="A1077" s="5"/>
      <c r="B1077" s="5"/>
      <c r="C1077" s="5"/>
      <c r="D1077" s="5"/>
    </row>
    <row r="1078">
      <c r="A1078" s="3" t="s">
        <v>1615</v>
      </c>
      <c r="B1078" s="3" t="s">
        <v>1616</v>
      </c>
      <c r="C1078" s="4" t="s">
        <v>1617</v>
      </c>
      <c r="D1078" s="3">
        <v>6.478034417E9</v>
      </c>
    </row>
    <row r="1079">
      <c r="A1079" s="5"/>
      <c r="B1079" s="5"/>
      <c r="C1079" s="5"/>
      <c r="D1079" s="5"/>
    </row>
    <row r="1080">
      <c r="A1080" s="3" t="s">
        <v>1618</v>
      </c>
      <c r="B1080" s="3" t="s">
        <v>1619</v>
      </c>
      <c r="C1080" s="4" t="s">
        <v>1620</v>
      </c>
      <c r="D1080" s="3">
        <v>7.059708786E9</v>
      </c>
    </row>
    <row r="1081">
      <c r="A1081" s="5"/>
      <c r="B1081" s="5"/>
      <c r="C1081" s="5"/>
      <c r="D1081" s="5"/>
    </row>
    <row r="1082">
      <c r="A1082" s="3" t="s">
        <v>1621</v>
      </c>
      <c r="B1082" s="3" t="s">
        <v>1622</v>
      </c>
      <c r="C1082" s="4" t="s">
        <v>1623</v>
      </c>
      <c r="D1082" s="3">
        <v>6.043355887E9</v>
      </c>
    </row>
    <row r="1083">
      <c r="A1083" s="5"/>
      <c r="B1083" s="5"/>
      <c r="C1083" s="5"/>
      <c r="D1083" s="5"/>
    </row>
    <row r="1084">
      <c r="A1084" s="3" t="s">
        <v>428</v>
      </c>
      <c r="B1084" s="3" t="s">
        <v>1624</v>
      </c>
      <c r="C1084" s="4" t="s">
        <v>1625</v>
      </c>
      <c r="D1084" s="3">
        <v>4.169170701E9</v>
      </c>
    </row>
    <row r="1085">
      <c r="A1085" s="5"/>
      <c r="B1085" s="5"/>
      <c r="C1085" s="5"/>
      <c r="D1085" s="5"/>
    </row>
    <row r="1086">
      <c r="A1086" s="3" t="s">
        <v>1626</v>
      </c>
      <c r="B1086" s="3" t="s">
        <v>1627</v>
      </c>
      <c r="C1086" s="4" t="s">
        <v>1628</v>
      </c>
      <c r="D1086" s="3">
        <v>5.198687314E9</v>
      </c>
    </row>
    <row r="1087">
      <c r="A1087" s="5"/>
      <c r="B1087" s="5"/>
      <c r="C1087" s="5"/>
      <c r="D1087" s="5"/>
    </row>
    <row r="1088">
      <c r="A1088" s="3" t="s">
        <v>1629</v>
      </c>
      <c r="B1088" s="3" t="s">
        <v>1630</v>
      </c>
      <c r="C1088" s="4" t="s">
        <v>1631</v>
      </c>
      <c r="D1088" s="3">
        <v>2.263320181E9</v>
      </c>
    </row>
    <row r="1089">
      <c r="A1089" s="5"/>
      <c r="B1089" s="5"/>
      <c r="C1089" s="5"/>
      <c r="D1089" s="5"/>
    </row>
    <row r="1090">
      <c r="A1090" s="3" t="s">
        <v>1632</v>
      </c>
      <c r="B1090" s="3" t="s">
        <v>1633</v>
      </c>
      <c r="C1090" s="4" t="s">
        <v>1634</v>
      </c>
      <c r="D1090" s="3">
        <v>6.477028918E9</v>
      </c>
    </row>
    <row r="1091">
      <c r="A1091" s="5"/>
      <c r="B1091" s="5"/>
      <c r="C1091" s="5"/>
      <c r="D1091" s="5"/>
    </row>
    <row r="1092">
      <c r="A1092" s="3" t="s">
        <v>1635</v>
      </c>
      <c r="B1092" s="3" t="s">
        <v>1636</v>
      </c>
      <c r="C1092" s="4" t="s">
        <v>1637</v>
      </c>
      <c r="D1092" s="3">
        <v>4.167869209E9</v>
      </c>
    </row>
    <row r="1093">
      <c r="A1093" s="5"/>
      <c r="B1093" s="5"/>
      <c r="C1093" s="5"/>
      <c r="D1093" s="5"/>
    </row>
    <row r="1094">
      <c r="A1094" s="3" t="s">
        <v>1638</v>
      </c>
      <c r="B1094" s="3" t="s">
        <v>1639</v>
      </c>
      <c r="C1094" s="4" t="s">
        <v>1640</v>
      </c>
      <c r="D1094" s="3">
        <v>4.168308172E9</v>
      </c>
    </row>
    <row r="1095">
      <c r="A1095" s="5"/>
      <c r="B1095" s="5"/>
      <c r="C1095" s="5"/>
      <c r="D1095" s="5"/>
    </row>
    <row r="1096">
      <c r="A1096" s="3" t="s">
        <v>1641</v>
      </c>
      <c r="B1096" s="3" t="s">
        <v>1642</v>
      </c>
      <c r="C1096" s="4" t="s">
        <v>1643</v>
      </c>
      <c r="D1096" s="3">
        <v>4.16821859E9</v>
      </c>
    </row>
    <row r="1097">
      <c r="A1097" s="5"/>
      <c r="B1097" s="5"/>
      <c r="C1097" s="5"/>
      <c r="D1097" s="5"/>
    </row>
    <row r="1098">
      <c r="A1098" s="3" t="s">
        <v>1644</v>
      </c>
      <c r="B1098" s="3" t="s">
        <v>1645</v>
      </c>
      <c r="C1098" s="4" t="s">
        <v>1646</v>
      </c>
      <c r="D1098" s="3">
        <v>8.07356146E9</v>
      </c>
    </row>
    <row r="1099">
      <c r="A1099" s="5"/>
      <c r="B1099" s="5"/>
      <c r="C1099" s="5"/>
      <c r="D1099" s="5"/>
    </row>
    <row r="1100">
      <c r="A1100" s="3" t="s">
        <v>989</v>
      </c>
      <c r="B1100" s="3" t="s">
        <v>1647</v>
      </c>
      <c r="C1100" s="4" t="s">
        <v>1648</v>
      </c>
      <c r="D1100" s="3">
        <v>6.478311121E9</v>
      </c>
    </row>
  </sheetData>
  <hyperlinks>
    <hyperlink r:id="rId1" ref="C2"/>
    <hyperlink r:id="rId2" ref="C4"/>
    <hyperlink r:id="rId3" ref="C6"/>
    <hyperlink r:id="rId4" ref="C8"/>
    <hyperlink r:id="rId5" ref="C10"/>
    <hyperlink r:id="rId6" ref="C12"/>
    <hyperlink r:id="rId7" ref="C14"/>
    <hyperlink r:id="rId8" ref="C16"/>
    <hyperlink r:id="rId9" ref="C18"/>
    <hyperlink r:id="rId10" ref="C20"/>
    <hyperlink r:id="rId11" ref="C22"/>
    <hyperlink r:id="rId12" ref="C24"/>
    <hyperlink r:id="rId13" ref="C26"/>
    <hyperlink r:id="rId14" ref="C28"/>
    <hyperlink r:id="rId15" ref="C30"/>
    <hyperlink r:id="rId16" ref="C32"/>
    <hyperlink r:id="rId17" ref="C34"/>
    <hyperlink r:id="rId18" ref="C36"/>
    <hyperlink r:id="rId19" ref="C38"/>
    <hyperlink r:id="rId20" ref="C40"/>
    <hyperlink r:id="rId21" ref="C42"/>
    <hyperlink r:id="rId22" ref="C44"/>
    <hyperlink r:id="rId23" ref="C46"/>
    <hyperlink r:id="rId24" ref="C48"/>
    <hyperlink r:id="rId25" ref="C50"/>
    <hyperlink r:id="rId26" ref="C52"/>
    <hyperlink r:id="rId27" ref="C54"/>
    <hyperlink r:id="rId28" ref="C58"/>
    <hyperlink r:id="rId29" ref="C60"/>
    <hyperlink r:id="rId30" ref="C64"/>
    <hyperlink r:id="rId31" ref="C66"/>
    <hyperlink r:id="rId32" ref="C70"/>
    <hyperlink r:id="rId33" ref="C72"/>
    <hyperlink r:id="rId34" ref="C74"/>
    <hyperlink r:id="rId35" ref="C76"/>
    <hyperlink r:id="rId36" ref="C78"/>
    <hyperlink r:id="rId37" ref="C80"/>
    <hyperlink r:id="rId38" ref="C82"/>
    <hyperlink r:id="rId39" ref="C84"/>
    <hyperlink r:id="rId40" ref="C86"/>
    <hyperlink r:id="rId41" ref="C88"/>
    <hyperlink r:id="rId42" ref="C90"/>
    <hyperlink r:id="rId43" ref="C92"/>
    <hyperlink r:id="rId44" ref="C94"/>
    <hyperlink r:id="rId45" ref="C96"/>
    <hyperlink r:id="rId46" ref="C98"/>
    <hyperlink r:id="rId47" ref="C100"/>
    <hyperlink r:id="rId48" ref="C102"/>
    <hyperlink r:id="rId49" ref="C104"/>
    <hyperlink r:id="rId50" ref="C106"/>
    <hyperlink r:id="rId51" ref="C108"/>
    <hyperlink r:id="rId52" ref="C110"/>
    <hyperlink r:id="rId53" ref="C112"/>
    <hyperlink r:id="rId54" ref="C114"/>
    <hyperlink r:id="rId55" ref="C116"/>
    <hyperlink r:id="rId56" ref="C122"/>
    <hyperlink r:id="rId57" ref="C124"/>
    <hyperlink r:id="rId58" ref="A126"/>
    <hyperlink r:id="rId59" ref="C126"/>
    <hyperlink r:id="rId60" ref="C128"/>
    <hyperlink r:id="rId61" ref="C130"/>
    <hyperlink r:id="rId62" ref="C132"/>
    <hyperlink r:id="rId63" ref="C134"/>
    <hyperlink r:id="rId64" ref="C136"/>
    <hyperlink r:id="rId65" ref="C138"/>
    <hyperlink r:id="rId66" ref="C140"/>
    <hyperlink r:id="rId67" ref="C142"/>
    <hyperlink r:id="rId68" ref="C144"/>
    <hyperlink r:id="rId69" ref="C146"/>
    <hyperlink r:id="rId70" ref="C150"/>
    <hyperlink r:id="rId71" ref="C152"/>
    <hyperlink r:id="rId72" ref="C154"/>
    <hyperlink r:id="rId73" ref="C156"/>
    <hyperlink r:id="rId74" ref="C158"/>
    <hyperlink r:id="rId75" ref="C160"/>
    <hyperlink r:id="rId76" ref="C162"/>
    <hyperlink r:id="rId77" ref="C164"/>
    <hyperlink r:id="rId78" ref="C166"/>
    <hyperlink r:id="rId79" ref="C168"/>
    <hyperlink r:id="rId80" ref="C170"/>
    <hyperlink r:id="rId81" ref="C174"/>
    <hyperlink r:id="rId82" ref="C176"/>
    <hyperlink r:id="rId83" ref="C178"/>
    <hyperlink r:id="rId84" ref="C180"/>
    <hyperlink r:id="rId85" ref="C182"/>
    <hyperlink r:id="rId86" ref="C184"/>
    <hyperlink r:id="rId87" ref="C188"/>
    <hyperlink r:id="rId88" ref="C190"/>
    <hyperlink r:id="rId89" ref="C192"/>
    <hyperlink r:id="rId90" ref="C194"/>
    <hyperlink r:id="rId91" ref="C196"/>
    <hyperlink r:id="rId92" ref="C198"/>
    <hyperlink r:id="rId93" ref="C200"/>
    <hyperlink r:id="rId94" ref="C202"/>
    <hyperlink r:id="rId95" ref="C204"/>
    <hyperlink r:id="rId96" ref="C206"/>
    <hyperlink r:id="rId97" ref="C208"/>
    <hyperlink r:id="rId98" ref="C210"/>
    <hyperlink r:id="rId99" ref="C212"/>
    <hyperlink r:id="rId100" ref="C214"/>
    <hyperlink r:id="rId101" ref="C216"/>
    <hyperlink r:id="rId102" ref="C220"/>
    <hyperlink r:id="rId103" ref="C224"/>
    <hyperlink r:id="rId104" ref="C226"/>
    <hyperlink r:id="rId105" ref="C228"/>
    <hyperlink r:id="rId106" ref="C230"/>
    <hyperlink r:id="rId107" ref="C232"/>
    <hyperlink r:id="rId108" ref="C234"/>
    <hyperlink r:id="rId109" ref="C236"/>
    <hyperlink r:id="rId110" ref="C238"/>
    <hyperlink r:id="rId111" ref="C240"/>
    <hyperlink r:id="rId112" ref="C242"/>
    <hyperlink r:id="rId113" ref="C244"/>
    <hyperlink r:id="rId114" ref="C246"/>
    <hyperlink r:id="rId115" ref="C248"/>
    <hyperlink r:id="rId116" ref="C250"/>
    <hyperlink r:id="rId117" ref="C252"/>
    <hyperlink r:id="rId118" ref="C254"/>
    <hyperlink r:id="rId119" ref="C256"/>
    <hyperlink r:id="rId120" ref="C258"/>
    <hyperlink r:id="rId121" ref="C260"/>
    <hyperlink r:id="rId122" ref="C264"/>
    <hyperlink r:id="rId123" ref="C268"/>
    <hyperlink r:id="rId124" ref="C270"/>
    <hyperlink r:id="rId125" ref="C272"/>
    <hyperlink r:id="rId126" ref="C274"/>
    <hyperlink r:id="rId127" ref="C276"/>
    <hyperlink r:id="rId128" ref="C278"/>
    <hyperlink r:id="rId129" ref="C280"/>
    <hyperlink r:id="rId130" ref="C282"/>
    <hyperlink r:id="rId131" ref="C284"/>
    <hyperlink r:id="rId132" ref="C286"/>
    <hyperlink r:id="rId133" ref="C288"/>
    <hyperlink r:id="rId134" ref="C290"/>
    <hyperlink r:id="rId135" ref="C292"/>
    <hyperlink r:id="rId136" ref="C294"/>
    <hyperlink r:id="rId137" ref="C296"/>
    <hyperlink r:id="rId138" ref="C298"/>
    <hyperlink r:id="rId139" ref="C300"/>
    <hyperlink r:id="rId140" ref="C302"/>
    <hyperlink r:id="rId141" ref="C304"/>
    <hyperlink r:id="rId142" ref="C306"/>
    <hyperlink r:id="rId143" ref="C308"/>
    <hyperlink r:id="rId144" ref="C312"/>
    <hyperlink r:id="rId145" ref="C314"/>
    <hyperlink r:id="rId146" ref="C316"/>
    <hyperlink r:id="rId147" ref="C318"/>
    <hyperlink r:id="rId148" ref="C320"/>
    <hyperlink r:id="rId149" ref="C322"/>
    <hyperlink r:id="rId150" ref="C324"/>
    <hyperlink r:id="rId151" ref="C326"/>
    <hyperlink r:id="rId152" ref="C328"/>
    <hyperlink r:id="rId153" ref="C330"/>
    <hyperlink r:id="rId154" ref="C332"/>
    <hyperlink r:id="rId155" ref="C334"/>
    <hyperlink r:id="rId156" ref="C338"/>
    <hyperlink r:id="rId157" ref="C340"/>
    <hyperlink r:id="rId158" ref="C342"/>
    <hyperlink r:id="rId159" ref="C344"/>
    <hyperlink r:id="rId160" ref="C346"/>
    <hyperlink r:id="rId161" ref="C348"/>
    <hyperlink r:id="rId162" ref="C350"/>
    <hyperlink r:id="rId163" ref="C352"/>
    <hyperlink r:id="rId164" ref="C354"/>
    <hyperlink r:id="rId165" ref="C356"/>
    <hyperlink r:id="rId166" ref="C358"/>
    <hyperlink r:id="rId167" ref="C360"/>
    <hyperlink r:id="rId168" ref="C362"/>
    <hyperlink r:id="rId169" ref="C364"/>
    <hyperlink r:id="rId170" ref="C366"/>
    <hyperlink r:id="rId171" ref="C368"/>
    <hyperlink r:id="rId172" ref="C370"/>
    <hyperlink r:id="rId173" ref="C372"/>
    <hyperlink r:id="rId174" ref="C374"/>
    <hyperlink r:id="rId175" ref="C376"/>
    <hyperlink r:id="rId176" ref="C378"/>
    <hyperlink r:id="rId177" ref="C380"/>
    <hyperlink r:id="rId178" ref="C382"/>
    <hyperlink r:id="rId179" ref="C384"/>
    <hyperlink r:id="rId180" ref="C386"/>
    <hyperlink r:id="rId181" ref="C390"/>
    <hyperlink r:id="rId182" ref="C392"/>
    <hyperlink r:id="rId183" ref="C394"/>
    <hyperlink r:id="rId184" ref="C396"/>
    <hyperlink r:id="rId185" ref="C398"/>
    <hyperlink r:id="rId186" ref="C400"/>
    <hyperlink r:id="rId187" ref="C402"/>
    <hyperlink r:id="rId188" ref="C404"/>
    <hyperlink r:id="rId189" ref="C406"/>
    <hyperlink r:id="rId190" ref="C408"/>
    <hyperlink r:id="rId191" ref="C410"/>
    <hyperlink r:id="rId192" ref="C412"/>
    <hyperlink r:id="rId193" ref="C414"/>
    <hyperlink r:id="rId194" ref="C416"/>
    <hyperlink r:id="rId195" ref="C418"/>
    <hyperlink r:id="rId196" ref="C420"/>
    <hyperlink r:id="rId197" ref="C422"/>
    <hyperlink r:id="rId198" ref="C424"/>
    <hyperlink r:id="rId199" ref="C426"/>
    <hyperlink r:id="rId200" ref="C428"/>
    <hyperlink r:id="rId201" ref="C430"/>
    <hyperlink r:id="rId202" ref="C432"/>
    <hyperlink r:id="rId203" ref="C434"/>
    <hyperlink r:id="rId204" ref="C436"/>
    <hyperlink r:id="rId205" ref="C438"/>
    <hyperlink r:id="rId206" ref="C440"/>
    <hyperlink r:id="rId207" ref="C442"/>
    <hyperlink r:id="rId208" ref="C444"/>
    <hyperlink r:id="rId209" ref="C448"/>
    <hyperlink r:id="rId210" ref="C450"/>
    <hyperlink r:id="rId211" ref="C452"/>
    <hyperlink r:id="rId212" ref="C454"/>
    <hyperlink r:id="rId213" ref="C456"/>
    <hyperlink r:id="rId214" ref="C460"/>
    <hyperlink r:id="rId215" ref="C462"/>
    <hyperlink r:id="rId216" ref="C464"/>
    <hyperlink r:id="rId217" ref="C466"/>
    <hyperlink r:id="rId218" ref="C468"/>
    <hyperlink r:id="rId219" ref="C470"/>
    <hyperlink r:id="rId220" ref="C474"/>
    <hyperlink r:id="rId221" ref="C476"/>
    <hyperlink r:id="rId222" ref="C478"/>
    <hyperlink r:id="rId223" ref="C480"/>
    <hyperlink r:id="rId224" ref="C482"/>
    <hyperlink r:id="rId225" ref="C484"/>
    <hyperlink r:id="rId226" ref="C486"/>
    <hyperlink r:id="rId227" ref="C492"/>
    <hyperlink r:id="rId228" ref="C494"/>
    <hyperlink r:id="rId229" ref="C496"/>
    <hyperlink r:id="rId230" ref="C498"/>
    <hyperlink r:id="rId231" ref="C500"/>
    <hyperlink r:id="rId232" ref="C502"/>
    <hyperlink r:id="rId233" ref="C504"/>
    <hyperlink r:id="rId234" ref="C506"/>
    <hyperlink r:id="rId235" ref="C508"/>
    <hyperlink r:id="rId236" ref="C510"/>
    <hyperlink r:id="rId237" ref="C512"/>
    <hyperlink r:id="rId238" ref="C514"/>
    <hyperlink r:id="rId239" ref="C516"/>
    <hyperlink r:id="rId240" ref="C518"/>
    <hyperlink r:id="rId241" ref="C520"/>
    <hyperlink r:id="rId242" ref="C522"/>
    <hyperlink r:id="rId243" ref="C524"/>
    <hyperlink r:id="rId244" ref="C528"/>
    <hyperlink r:id="rId245" ref="C530"/>
    <hyperlink r:id="rId246" ref="C532"/>
    <hyperlink r:id="rId247" ref="C534"/>
    <hyperlink r:id="rId248" ref="C538"/>
    <hyperlink r:id="rId249" ref="C540"/>
    <hyperlink r:id="rId250" ref="C542"/>
    <hyperlink r:id="rId251" ref="C544"/>
    <hyperlink r:id="rId252" ref="C546"/>
    <hyperlink r:id="rId253" ref="C548"/>
    <hyperlink r:id="rId254" ref="C550"/>
    <hyperlink r:id="rId255" ref="C552"/>
    <hyperlink r:id="rId256" ref="C554"/>
    <hyperlink r:id="rId257" ref="C556"/>
    <hyperlink r:id="rId258" ref="C558"/>
    <hyperlink r:id="rId259" ref="C560"/>
    <hyperlink r:id="rId260" ref="C564"/>
    <hyperlink r:id="rId261" ref="C566"/>
    <hyperlink r:id="rId262" ref="C568"/>
    <hyperlink r:id="rId263" ref="C570"/>
    <hyperlink r:id="rId264" ref="C572"/>
    <hyperlink r:id="rId265" ref="C574"/>
    <hyperlink r:id="rId266" ref="C576"/>
    <hyperlink r:id="rId267" ref="C578"/>
    <hyperlink r:id="rId268" ref="C580"/>
    <hyperlink r:id="rId269" ref="C582"/>
    <hyperlink r:id="rId270" ref="C584"/>
    <hyperlink r:id="rId271" ref="C590"/>
    <hyperlink r:id="rId272" ref="C594"/>
    <hyperlink r:id="rId273" ref="C596"/>
    <hyperlink r:id="rId274" ref="C598"/>
    <hyperlink r:id="rId275" ref="C600"/>
    <hyperlink r:id="rId276" ref="C602"/>
    <hyperlink r:id="rId277" ref="C604"/>
    <hyperlink r:id="rId278" ref="C606"/>
    <hyperlink r:id="rId279" ref="C608"/>
    <hyperlink r:id="rId280" ref="C610"/>
    <hyperlink r:id="rId281" ref="C612"/>
    <hyperlink r:id="rId282" ref="C614"/>
    <hyperlink r:id="rId283" ref="C616"/>
    <hyperlink r:id="rId284" ref="C618"/>
    <hyperlink r:id="rId285" ref="C620"/>
    <hyperlink r:id="rId286" ref="C622"/>
    <hyperlink r:id="rId287" ref="C624"/>
    <hyperlink r:id="rId288" ref="C626"/>
    <hyperlink r:id="rId289" ref="C628"/>
    <hyperlink r:id="rId290" ref="C630"/>
    <hyperlink r:id="rId291" ref="C632"/>
    <hyperlink r:id="rId292" ref="C634"/>
    <hyperlink r:id="rId293" ref="C636"/>
    <hyperlink r:id="rId294" ref="C638"/>
    <hyperlink r:id="rId295" ref="C640"/>
    <hyperlink r:id="rId296" ref="C642"/>
    <hyperlink r:id="rId297" ref="C644"/>
    <hyperlink r:id="rId298" ref="C646"/>
    <hyperlink r:id="rId299" ref="C648"/>
    <hyperlink r:id="rId300" ref="C650"/>
    <hyperlink r:id="rId301" ref="C652"/>
    <hyperlink r:id="rId302" ref="C654"/>
    <hyperlink r:id="rId303" ref="C656"/>
    <hyperlink r:id="rId304" ref="C658"/>
    <hyperlink r:id="rId305" ref="C660"/>
    <hyperlink r:id="rId306" ref="C662"/>
    <hyperlink r:id="rId307" ref="C664"/>
    <hyperlink r:id="rId308" ref="C666"/>
    <hyperlink r:id="rId309" ref="C668"/>
    <hyperlink r:id="rId310" ref="C670"/>
    <hyperlink r:id="rId311" ref="C672"/>
    <hyperlink r:id="rId312" ref="C674"/>
    <hyperlink r:id="rId313" ref="C676"/>
    <hyperlink r:id="rId314" ref="C678"/>
    <hyperlink r:id="rId315" ref="C680"/>
    <hyperlink r:id="rId316" ref="C682"/>
    <hyperlink r:id="rId317" ref="C684"/>
    <hyperlink r:id="rId318" ref="C686"/>
    <hyperlink r:id="rId319" ref="C688"/>
    <hyperlink r:id="rId320" ref="C690"/>
    <hyperlink r:id="rId321" ref="C692"/>
    <hyperlink r:id="rId322" ref="C694"/>
    <hyperlink r:id="rId323" ref="C696"/>
    <hyperlink r:id="rId324" ref="C698"/>
    <hyperlink r:id="rId325" ref="C700"/>
    <hyperlink r:id="rId326" ref="C702"/>
    <hyperlink r:id="rId327" ref="C704"/>
    <hyperlink r:id="rId328" ref="C706"/>
    <hyperlink r:id="rId329" ref="C708"/>
    <hyperlink r:id="rId330" ref="C710"/>
    <hyperlink r:id="rId331" ref="C712"/>
    <hyperlink r:id="rId332" ref="C714"/>
    <hyperlink r:id="rId333" ref="C716"/>
    <hyperlink r:id="rId334" ref="C718"/>
    <hyperlink r:id="rId335" ref="C720"/>
    <hyperlink r:id="rId336" ref="C722"/>
    <hyperlink r:id="rId337" ref="C724"/>
    <hyperlink r:id="rId338" ref="C726"/>
    <hyperlink r:id="rId339" ref="C728"/>
    <hyperlink r:id="rId340" ref="C730"/>
    <hyperlink r:id="rId341" ref="C732"/>
    <hyperlink r:id="rId342" ref="C734"/>
    <hyperlink r:id="rId343" ref="C736"/>
    <hyperlink r:id="rId344" ref="C738"/>
    <hyperlink r:id="rId345" ref="C740"/>
    <hyperlink r:id="rId346" ref="C742"/>
    <hyperlink r:id="rId347" ref="C744"/>
    <hyperlink r:id="rId348" ref="C746"/>
    <hyperlink r:id="rId349" ref="C748"/>
    <hyperlink r:id="rId350" ref="C750"/>
    <hyperlink r:id="rId351" ref="C752"/>
    <hyperlink r:id="rId352" ref="C754"/>
    <hyperlink r:id="rId353" ref="C756"/>
    <hyperlink r:id="rId354" ref="C758"/>
    <hyperlink r:id="rId355" ref="C760"/>
    <hyperlink r:id="rId356" ref="C762"/>
    <hyperlink r:id="rId357" ref="C764"/>
    <hyperlink r:id="rId358" ref="C766"/>
    <hyperlink r:id="rId359" ref="C768"/>
    <hyperlink r:id="rId360" ref="C770"/>
    <hyperlink r:id="rId361" ref="C772"/>
    <hyperlink r:id="rId362" ref="C774"/>
    <hyperlink r:id="rId363" ref="C776"/>
    <hyperlink r:id="rId364" ref="C778"/>
    <hyperlink r:id="rId365" ref="C780"/>
    <hyperlink r:id="rId366" ref="C782"/>
    <hyperlink r:id="rId367" ref="C784"/>
    <hyperlink r:id="rId368" ref="C786"/>
    <hyperlink r:id="rId369" ref="C788"/>
    <hyperlink r:id="rId370" ref="C790"/>
    <hyperlink r:id="rId371" ref="C792"/>
    <hyperlink r:id="rId372" ref="C796"/>
    <hyperlink r:id="rId373" ref="C798"/>
    <hyperlink r:id="rId374" ref="C800"/>
    <hyperlink r:id="rId375" ref="C802"/>
    <hyperlink r:id="rId376" ref="C804"/>
    <hyperlink r:id="rId377" ref="C806"/>
    <hyperlink r:id="rId378" ref="C808"/>
    <hyperlink r:id="rId379" ref="C810"/>
    <hyperlink r:id="rId380" ref="C812"/>
    <hyperlink r:id="rId381" ref="C814"/>
    <hyperlink r:id="rId382" ref="C816"/>
    <hyperlink r:id="rId383" ref="C818"/>
    <hyperlink r:id="rId384" ref="C820"/>
    <hyperlink r:id="rId385" ref="C822"/>
    <hyperlink r:id="rId386" ref="C824"/>
    <hyperlink r:id="rId387" ref="C826"/>
    <hyperlink r:id="rId388" ref="C828"/>
    <hyperlink r:id="rId389" ref="C830"/>
    <hyperlink r:id="rId390" ref="C832"/>
    <hyperlink r:id="rId391" ref="C834"/>
    <hyperlink r:id="rId392" ref="C836"/>
    <hyperlink r:id="rId393" ref="C838"/>
    <hyperlink r:id="rId394" ref="C840"/>
    <hyperlink r:id="rId395" ref="C842"/>
    <hyperlink r:id="rId396" ref="C844"/>
    <hyperlink r:id="rId397" ref="C846"/>
    <hyperlink r:id="rId398" ref="C848"/>
    <hyperlink r:id="rId399" ref="C850"/>
    <hyperlink r:id="rId400" ref="C852"/>
    <hyperlink r:id="rId401" ref="C854"/>
    <hyperlink r:id="rId402" ref="C856"/>
    <hyperlink r:id="rId403" ref="C858"/>
    <hyperlink r:id="rId404" ref="C860"/>
    <hyperlink r:id="rId405" ref="C862"/>
    <hyperlink r:id="rId406" ref="C864"/>
    <hyperlink r:id="rId407" ref="C866"/>
    <hyperlink r:id="rId408" ref="C868"/>
    <hyperlink r:id="rId409" ref="C870"/>
    <hyperlink r:id="rId410" ref="C872"/>
    <hyperlink r:id="rId411" ref="C874"/>
    <hyperlink r:id="rId412" ref="C876"/>
    <hyperlink r:id="rId413" ref="C878"/>
    <hyperlink r:id="rId414" ref="C880"/>
    <hyperlink r:id="rId415" ref="C882"/>
    <hyperlink r:id="rId416" ref="C884"/>
    <hyperlink r:id="rId417" ref="C886"/>
    <hyperlink r:id="rId418" ref="C888"/>
    <hyperlink r:id="rId419" ref="C890"/>
    <hyperlink r:id="rId420" ref="C892"/>
    <hyperlink r:id="rId421" ref="C894"/>
    <hyperlink r:id="rId422" ref="C896"/>
    <hyperlink r:id="rId423" ref="C898"/>
    <hyperlink r:id="rId424" ref="C900"/>
    <hyperlink r:id="rId425" ref="C902"/>
    <hyperlink r:id="rId426" ref="C904"/>
    <hyperlink r:id="rId427" ref="C906"/>
    <hyperlink r:id="rId428" ref="C908"/>
    <hyperlink r:id="rId429" ref="C910"/>
    <hyperlink r:id="rId430" ref="C912"/>
    <hyperlink r:id="rId431" ref="C914"/>
    <hyperlink r:id="rId432" ref="C916"/>
    <hyperlink r:id="rId433" ref="C918"/>
    <hyperlink r:id="rId434" ref="C920"/>
    <hyperlink r:id="rId435" ref="C922"/>
    <hyperlink r:id="rId436" ref="C924"/>
    <hyperlink r:id="rId437" ref="C926"/>
    <hyperlink r:id="rId438" ref="C928"/>
    <hyperlink r:id="rId439" ref="C930"/>
    <hyperlink r:id="rId440" ref="C932"/>
    <hyperlink r:id="rId441" ref="C934"/>
    <hyperlink r:id="rId442" ref="C936"/>
    <hyperlink r:id="rId443" ref="C938"/>
    <hyperlink r:id="rId444" ref="C940"/>
    <hyperlink r:id="rId445" ref="C942"/>
    <hyperlink r:id="rId446" ref="C944"/>
    <hyperlink r:id="rId447" ref="C946"/>
    <hyperlink r:id="rId448" ref="C948"/>
    <hyperlink r:id="rId449" ref="C950"/>
    <hyperlink r:id="rId450" ref="C952"/>
    <hyperlink r:id="rId451" ref="C954"/>
    <hyperlink r:id="rId452" ref="C956"/>
    <hyperlink r:id="rId453" ref="C958"/>
    <hyperlink r:id="rId454" ref="C960"/>
    <hyperlink r:id="rId455" ref="C962"/>
    <hyperlink r:id="rId456" ref="C964"/>
    <hyperlink r:id="rId457" ref="C966"/>
    <hyperlink r:id="rId458" ref="C968"/>
    <hyperlink r:id="rId459" ref="C970"/>
    <hyperlink r:id="rId460" ref="C972"/>
    <hyperlink r:id="rId461" ref="C974"/>
    <hyperlink r:id="rId462" ref="C976"/>
    <hyperlink r:id="rId463" ref="C978"/>
    <hyperlink r:id="rId464" ref="C980"/>
    <hyperlink r:id="rId465" ref="C982"/>
    <hyperlink r:id="rId466" ref="C984"/>
    <hyperlink r:id="rId467" ref="C986"/>
    <hyperlink r:id="rId468" ref="C988"/>
    <hyperlink r:id="rId469" ref="C990"/>
    <hyperlink r:id="rId470" ref="C992"/>
    <hyperlink r:id="rId471" ref="C994"/>
    <hyperlink r:id="rId472" ref="C996"/>
    <hyperlink r:id="rId473" ref="C998"/>
    <hyperlink r:id="rId474" ref="C1000"/>
    <hyperlink r:id="rId475" ref="C1002"/>
    <hyperlink r:id="rId476" ref="C1004"/>
    <hyperlink r:id="rId477" ref="C1006"/>
    <hyperlink r:id="rId478" ref="C1008"/>
    <hyperlink r:id="rId479" ref="C1010"/>
    <hyperlink r:id="rId480" ref="C1012"/>
    <hyperlink r:id="rId481" ref="C1014"/>
    <hyperlink r:id="rId482" ref="C1016"/>
    <hyperlink r:id="rId483" ref="C1018"/>
    <hyperlink r:id="rId484" ref="C1020"/>
    <hyperlink r:id="rId485" ref="C1022"/>
    <hyperlink r:id="rId486" ref="C1024"/>
    <hyperlink r:id="rId487" ref="C1026"/>
    <hyperlink r:id="rId488" ref="C1028"/>
    <hyperlink r:id="rId489" ref="C1030"/>
    <hyperlink r:id="rId490" ref="C1032"/>
    <hyperlink r:id="rId491" ref="C1036"/>
    <hyperlink r:id="rId492" ref="C1038"/>
    <hyperlink r:id="rId493" ref="C1040"/>
    <hyperlink r:id="rId494" ref="C1042"/>
    <hyperlink r:id="rId495" ref="C1044"/>
    <hyperlink r:id="rId496" ref="C1046"/>
    <hyperlink r:id="rId497" ref="C1048"/>
    <hyperlink r:id="rId498" ref="C1050"/>
    <hyperlink r:id="rId499" ref="C1052"/>
    <hyperlink r:id="rId500" ref="C1054"/>
    <hyperlink r:id="rId501" ref="C1056"/>
    <hyperlink r:id="rId502" ref="C1058"/>
    <hyperlink r:id="rId503" ref="C1060"/>
    <hyperlink r:id="rId504" ref="C1062"/>
    <hyperlink r:id="rId505" ref="C1064"/>
    <hyperlink r:id="rId506" ref="C1066"/>
    <hyperlink r:id="rId507" ref="C1068"/>
    <hyperlink r:id="rId508" ref="C1070"/>
    <hyperlink r:id="rId509" ref="C1072"/>
    <hyperlink r:id="rId510" ref="C1074"/>
    <hyperlink r:id="rId511" ref="C1076"/>
    <hyperlink r:id="rId512" ref="C1078"/>
    <hyperlink r:id="rId513" ref="C1080"/>
    <hyperlink r:id="rId514" ref="C1082"/>
    <hyperlink r:id="rId515" ref="C1084"/>
    <hyperlink r:id="rId516" ref="C1086"/>
    <hyperlink r:id="rId517" ref="C1088"/>
    <hyperlink r:id="rId518" ref="C1090"/>
    <hyperlink r:id="rId519" ref="C1092"/>
    <hyperlink r:id="rId520" ref="C1094"/>
    <hyperlink r:id="rId521" ref="C1096"/>
    <hyperlink r:id="rId522" ref="C1098"/>
    <hyperlink r:id="rId523" ref="C1100"/>
  </hyperlinks>
  <drawing r:id="rId5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1.25"/>
    <col customWidth="1" min="3" max="3" width="21.5"/>
    <col customWidth="1" min="4" max="4" width="15.13"/>
    <col customWidth="1" min="5" max="5" width="19.88"/>
    <col customWidth="1" min="6" max="6" width="33.0"/>
    <col customWidth="1" min="7" max="7" width="14.5"/>
    <col customWidth="1" min="8" max="13" width="52.13"/>
  </cols>
  <sheetData>
    <row r="1" ht="15.75" customHeight="1">
      <c r="A1" s="9"/>
      <c r="B1" s="9" t="s">
        <v>1649</v>
      </c>
      <c r="D1" s="9">
        <f>COUNT(B4:B10010)</f>
        <v>531</v>
      </c>
      <c r="E1" s="10"/>
      <c r="F1" s="11"/>
      <c r="G1" s="10"/>
      <c r="H1" s="12"/>
      <c r="I1" s="12"/>
      <c r="J1" s="12"/>
      <c r="K1" s="12"/>
      <c r="L1" s="12"/>
      <c r="M1" s="12"/>
    </row>
    <row r="2" ht="30.75" customHeight="1">
      <c r="A2" s="10"/>
      <c r="B2" s="10" t="s">
        <v>1650</v>
      </c>
      <c r="I2" s="10"/>
      <c r="J2" s="10"/>
      <c r="K2" s="10"/>
      <c r="L2" s="10"/>
      <c r="M2" s="10"/>
    </row>
    <row r="3" ht="42.75" customHeight="1">
      <c r="A3" s="13"/>
      <c r="B3" s="14" t="s">
        <v>1651</v>
      </c>
      <c r="C3" s="15" t="s">
        <v>1652</v>
      </c>
      <c r="D3" s="15" t="s">
        <v>1653</v>
      </c>
      <c r="E3" s="16" t="s">
        <v>1654</v>
      </c>
      <c r="F3" s="17" t="s">
        <v>1655</v>
      </c>
      <c r="G3" s="15" t="s">
        <v>1656</v>
      </c>
      <c r="H3" s="18"/>
      <c r="I3" s="18"/>
      <c r="J3" s="19"/>
      <c r="K3" s="19"/>
      <c r="L3" s="19"/>
      <c r="M3" s="19"/>
    </row>
    <row r="4" ht="15.75" customHeight="1">
      <c r="A4" s="20"/>
      <c r="B4" s="21">
        <v>1.0</v>
      </c>
      <c r="C4" s="22" t="s">
        <v>1339</v>
      </c>
      <c r="D4" s="22" t="s">
        <v>1340</v>
      </c>
      <c r="E4" s="23">
        <v>4.165206787E9</v>
      </c>
      <c r="F4" s="24" t="s">
        <v>1657</v>
      </c>
      <c r="G4" s="25"/>
      <c r="H4" s="26"/>
      <c r="I4" s="27"/>
      <c r="J4" s="28"/>
      <c r="K4" s="28"/>
      <c r="L4" s="28"/>
      <c r="M4" s="28"/>
    </row>
    <row r="5" ht="15.75" customHeight="1">
      <c r="A5" s="20"/>
      <c r="B5" s="29">
        <v>2.0</v>
      </c>
      <c r="C5" s="30" t="s">
        <v>1658</v>
      </c>
      <c r="D5" s="30" t="s">
        <v>1659</v>
      </c>
      <c r="E5" s="31">
        <v>4.164557181E9</v>
      </c>
      <c r="F5" s="32" t="s">
        <v>1660</v>
      </c>
      <c r="G5" s="33"/>
      <c r="H5" s="26"/>
      <c r="I5" s="27"/>
      <c r="J5" s="28"/>
      <c r="K5" s="28"/>
      <c r="L5" s="28"/>
      <c r="M5" s="28"/>
    </row>
    <row r="6" ht="15.75" customHeight="1">
      <c r="A6" s="20"/>
      <c r="B6" s="29">
        <v>3.0</v>
      </c>
      <c r="C6" s="30" t="s">
        <v>1347</v>
      </c>
      <c r="D6" s="30" t="s">
        <v>1348</v>
      </c>
      <c r="E6" s="31">
        <v>9.055444448E9</v>
      </c>
      <c r="F6" s="32" t="s">
        <v>1661</v>
      </c>
      <c r="G6" s="33"/>
      <c r="H6" s="26"/>
      <c r="I6" s="27"/>
      <c r="J6" s="28"/>
      <c r="K6" s="28"/>
      <c r="L6" s="28"/>
      <c r="M6" s="28"/>
    </row>
    <row r="7" ht="15.75" customHeight="1">
      <c r="A7" s="20"/>
      <c r="B7" s="29">
        <v>4.0</v>
      </c>
      <c r="C7" s="30" t="s">
        <v>1662</v>
      </c>
      <c r="D7" s="30" t="s">
        <v>1663</v>
      </c>
      <c r="E7" s="31">
        <v>4.168796186E9</v>
      </c>
      <c r="F7" s="32" t="s">
        <v>1664</v>
      </c>
      <c r="G7" s="33"/>
      <c r="H7" s="26"/>
      <c r="I7" s="27"/>
      <c r="J7" s="28"/>
      <c r="K7" s="28"/>
      <c r="L7" s="28"/>
      <c r="M7" s="28"/>
    </row>
    <row r="8" ht="15.75" customHeight="1">
      <c r="A8" s="20"/>
      <c r="B8" s="29">
        <v>5.0</v>
      </c>
      <c r="C8" s="30" t="s">
        <v>1355</v>
      </c>
      <c r="D8" s="30" t="s">
        <v>1665</v>
      </c>
      <c r="E8" s="31">
        <v>4.167204013E9</v>
      </c>
      <c r="F8" s="32" t="s">
        <v>1666</v>
      </c>
      <c r="G8" s="33"/>
      <c r="H8" s="26"/>
      <c r="I8" s="27"/>
      <c r="J8" s="28"/>
      <c r="K8" s="28"/>
      <c r="L8" s="28"/>
      <c r="M8" s="28"/>
    </row>
    <row r="9" ht="15.75" customHeight="1">
      <c r="A9" s="20"/>
      <c r="B9" s="29">
        <v>6.0</v>
      </c>
      <c r="C9" s="30" t="s">
        <v>1359</v>
      </c>
      <c r="D9" s="30" t="s">
        <v>1360</v>
      </c>
      <c r="E9" s="31">
        <v>4.168349032E9</v>
      </c>
      <c r="F9" s="32" t="s">
        <v>1667</v>
      </c>
      <c r="G9" s="33"/>
      <c r="H9" s="26"/>
      <c r="I9" s="27"/>
      <c r="J9" s="28"/>
      <c r="K9" s="28"/>
      <c r="L9" s="28"/>
      <c r="M9" s="28"/>
    </row>
    <row r="10" ht="15.75" customHeight="1">
      <c r="A10" s="34"/>
      <c r="B10" s="35">
        <v>7.0</v>
      </c>
      <c r="C10" s="36" t="s">
        <v>1363</v>
      </c>
      <c r="D10" s="36" t="s">
        <v>1364</v>
      </c>
      <c r="E10" s="37">
        <v>6.472956144E9</v>
      </c>
      <c r="F10" s="38" t="s">
        <v>1668</v>
      </c>
      <c r="G10" s="39"/>
      <c r="H10" s="40"/>
      <c r="I10" s="40"/>
      <c r="J10" s="41"/>
      <c r="K10" s="41"/>
      <c r="L10" s="41"/>
      <c r="M10" s="41"/>
    </row>
    <row r="11" ht="15.75" customHeight="1">
      <c r="A11" s="20"/>
      <c r="B11" s="29">
        <v>8.0</v>
      </c>
      <c r="C11" s="30" t="s">
        <v>1669</v>
      </c>
      <c r="D11" s="30" t="s">
        <v>1670</v>
      </c>
      <c r="E11" s="31">
        <v>4.37553567E9</v>
      </c>
      <c r="F11" s="32" t="s">
        <v>1671</v>
      </c>
      <c r="G11" s="33"/>
      <c r="H11" s="26"/>
      <c r="I11" s="27"/>
      <c r="J11" s="28"/>
      <c r="K11" s="28"/>
      <c r="L11" s="28"/>
      <c r="M11" s="28"/>
    </row>
    <row r="12" ht="15.75" customHeight="1">
      <c r="A12" s="20"/>
      <c r="B12" s="29">
        <v>9.0</v>
      </c>
      <c r="C12" s="30" t="s">
        <v>1672</v>
      </c>
      <c r="D12" s="30" t="s">
        <v>1673</v>
      </c>
      <c r="E12" s="31">
        <v>4.059651835E9</v>
      </c>
      <c r="F12" s="32" t="s">
        <v>1674</v>
      </c>
      <c r="G12" s="33"/>
      <c r="H12" s="26"/>
      <c r="I12" s="27"/>
      <c r="J12" s="28"/>
      <c r="K12" s="28"/>
      <c r="L12" s="28"/>
      <c r="M12" s="28"/>
    </row>
    <row r="13" ht="15.75" customHeight="1">
      <c r="A13" s="20"/>
      <c r="B13" s="29">
        <v>10.0</v>
      </c>
      <c r="C13" s="30" t="s">
        <v>1675</v>
      </c>
      <c r="D13" s="30" t="s">
        <v>1676</v>
      </c>
      <c r="E13" s="31">
        <v>4.16827042E9</v>
      </c>
      <c r="F13" s="32" t="s">
        <v>1677</v>
      </c>
      <c r="G13" s="33"/>
      <c r="H13" s="26"/>
      <c r="I13" s="27"/>
      <c r="J13" s="28"/>
      <c r="K13" s="28"/>
      <c r="L13" s="28"/>
      <c r="M13" s="28"/>
    </row>
    <row r="14" ht="15.75" customHeight="1">
      <c r="A14" s="20"/>
      <c r="B14" s="29">
        <v>11.0</v>
      </c>
      <c r="C14" s="30" t="s">
        <v>1678</v>
      </c>
      <c r="D14" s="30" t="s">
        <v>1679</v>
      </c>
      <c r="E14" s="31">
        <v>6.479664991E9</v>
      </c>
      <c r="F14" s="32" t="s">
        <v>1680</v>
      </c>
      <c r="G14" s="33"/>
      <c r="H14" s="26"/>
      <c r="I14" s="27"/>
      <c r="J14" s="28"/>
      <c r="K14" s="28"/>
      <c r="L14" s="28"/>
      <c r="M14" s="28"/>
    </row>
    <row r="15" ht="15.75" customHeight="1">
      <c r="A15" s="20"/>
      <c r="B15" s="29">
        <v>12.0</v>
      </c>
      <c r="C15" s="30" t="s">
        <v>1681</v>
      </c>
      <c r="D15" s="30" t="s">
        <v>1682</v>
      </c>
      <c r="E15" s="31">
        <v>2.886327891E9</v>
      </c>
      <c r="F15" s="32" t="s">
        <v>1683</v>
      </c>
      <c r="G15" s="33"/>
      <c r="H15" s="27"/>
      <c r="I15" s="27"/>
      <c r="J15" s="28"/>
      <c r="K15" s="28"/>
      <c r="L15" s="28"/>
      <c r="M15" s="28"/>
    </row>
    <row r="16" ht="15.75" customHeight="1">
      <c r="A16" s="20"/>
      <c r="B16" s="29">
        <v>13.0</v>
      </c>
      <c r="C16" s="30" t="s">
        <v>1684</v>
      </c>
      <c r="D16" s="30" t="s">
        <v>1685</v>
      </c>
      <c r="E16" s="31">
        <v>4.166697958E9</v>
      </c>
      <c r="F16" s="32" t="s">
        <v>1686</v>
      </c>
      <c r="G16" s="33"/>
      <c r="H16" s="26"/>
      <c r="I16" s="27"/>
      <c r="J16" s="28"/>
      <c r="K16" s="28"/>
      <c r="L16" s="28"/>
      <c r="M16" s="28"/>
    </row>
    <row r="17" ht="15.75" customHeight="1">
      <c r="A17" s="20"/>
      <c r="B17" s="29">
        <v>14.0</v>
      </c>
      <c r="C17" s="30" t="s">
        <v>1371</v>
      </c>
      <c r="D17" s="30" t="s">
        <v>1687</v>
      </c>
      <c r="E17" s="31">
        <v>4.162006666E9</v>
      </c>
      <c r="F17" s="32" t="s">
        <v>1688</v>
      </c>
      <c r="G17" s="33"/>
      <c r="H17" s="26"/>
      <c r="I17" s="27"/>
      <c r="J17" s="28"/>
      <c r="K17" s="28"/>
      <c r="L17" s="28"/>
      <c r="M17" s="28"/>
    </row>
    <row r="18" ht="15.75" customHeight="1">
      <c r="A18" s="20"/>
      <c r="B18" s="29">
        <v>15.0</v>
      </c>
      <c r="C18" s="30" t="s">
        <v>1375</v>
      </c>
      <c r="D18" s="30" t="s">
        <v>1376</v>
      </c>
      <c r="E18" s="31">
        <v>6.476182844E9</v>
      </c>
      <c r="F18" s="32" t="s">
        <v>1689</v>
      </c>
      <c r="G18" s="33"/>
      <c r="H18" s="26"/>
      <c r="I18" s="27"/>
      <c r="J18" s="28"/>
      <c r="K18" s="28"/>
      <c r="L18" s="28"/>
      <c r="M18" s="28"/>
    </row>
    <row r="19" ht="15.75" customHeight="1">
      <c r="A19" s="20"/>
      <c r="B19" s="29">
        <v>16.0</v>
      </c>
      <c r="C19" s="30" t="s">
        <v>62</v>
      </c>
      <c r="D19" s="30" t="s">
        <v>1379</v>
      </c>
      <c r="E19" s="31">
        <v>4.169701925E9</v>
      </c>
      <c r="F19" s="32" t="s">
        <v>1690</v>
      </c>
      <c r="G19" s="33"/>
      <c r="H19" s="26"/>
      <c r="I19" s="27"/>
      <c r="J19" s="28"/>
      <c r="K19" s="28"/>
      <c r="L19" s="28"/>
      <c r="M19" s="28"/>
    </row>
    <row r="20" ht="15.75" customHeight="1">
      <c r="A20" s="20"/>
      <c r="B20" s="29">
        <v>17.0</v>
      </c>
      <c r="C20" s="30" t="s">
        <v>1691</v>
      </c>
      <c r="D20" s="30" t="s">
        <v>1692</v>
      </c>
      <c r="E20" s="31">
        <v>6.476805541E9</v>
      </c>
      <c r="F20" s="32" t="s">
        <v>1693</v>
      </c>
      <c r="G20" s="33"/>
      <c r="H20" s="26"/>
      <c r="I20" s="27"/>
      <c r="J20" s="28"/>
      <c r="K20" s="28"/>
      <c r="L20" s="28"/>
      <c r="M20" s="28"/>
    </row>
    <row r="21" ht="15.75" customHeight="1">
      <c r="A21" s="20"/>
      <c r="B21" s="29">
        <v>18.0</v>
      </c>
      <c r="C21" s="30" t="s">
        <v>1694</v>
      </c>
      <c r="D21" s="30" t="s">
        <v>1387</v>
      </c>
      <c r="E21" s="31">
        <v>6.478971526E9</v>
      </c>
      <c r="F21" s="32" t="s">
        <v>1695</v>
      </c>
      <c r="G21" s="33"/>
      <c r="H21" s="26"/>
      <c r="I21" s="27"/>
      <c r="J21" s="28"/>
      <c r="K21" s="28"/>
      <c r="L21" s="28"/>
      <c r="M21" s="28"/>
    </row>
    <row r="22" ht="15.75" customHeight="1">
      <c r="A22" s="20"/>
      <c r="B22" s="29">
        <v>19.0</v>
      </c>
      <c r="C22" s="30" t="s">
        <v>1390</v>
      </c>
      <c r="D22" s="30" t="s">
        <v>1391</v>
      </c>
      <c r="E22" s="31">
        <v>6.477139512E9</v>
      </c>
      <c r="F22" s="32" t="s">
        <v>1696</v>
      </c>
      <c r="G22" s="33"/>
      <c r="H22" s="26"/>
      <c r="I22" s="27"/>
      <c r="J22" s="28"/>
      <c r="K22" s="28"/>
      <c r="L22" s="28"/>
      <c r="M22" s="28"/>
    </row>
    <row r="23" ht="15.75" customHeight="1">
      <c r="A23" s="20"/>
      <c r="B23" s="29">
        <v>20.0</v>
      </c>
      <c r="C23" s="30" t="s">
        <v>1697</v>
      </c>
      <c r="D23" s="30" t="s">
        <v>1698</v>
      </c>
      <c r="E23" s="31">
        <v>6.301931355E9</v>
      </c>
      <c r="F23" s="32" t="s">
        <v>1699</v>
      </c>
      <c r="G23" s="33"/>
      <c r="H23" s="42"/>
      <c r="I23" s="27"/>
      <c r="J23" s="28"/>
      <c r="K23" s="28"/>
      <c r="L23" s="28"/>
      <c r="M23" s="28"/>
    </row>
    <row r="24" ht="15.75" customHeight="1">
      <c r="A24" s="20"/>
      <c r="B24" s="29">
        <v>21.0</v>
      </c>
      <c r="C24" s="30" t="s">
        <v>1398</v>
      </c>
      <c r="D24" s="30" t="s">
        <v>1399</v>
      </c>
      <c r="E24" s="31">
        <v>4.374636305E9</v>
      </c>
      <c r="F24" s="32" t="s">
        <v>1700</v>
      </c>
      <c r="G24" s="33"/>
      <c r="H24" s="26"/>
      <c r="I24" s="27"/>
      <c r="J24" s="28"/>
      <c r="K24" s="28"/>
      <c r="L24" s="28"/>
      <c r="M24" s="28"/>
    </row>
    <row r="25" ht="15.75" customHeight="1">
      <c r="A25" s="20"/>
      <c r="B25" s="29">
        <v>22.0</v>
      </c>
      <c r="C25" s="30" t="s">
        <v>1402</v>
      </c>
      <c r="D25" s="30" t="s">
        <v>363</v>
      </c>
      <c r="E25" s="31">
        <v>4.165658485E9</v>
      </c>
      <c r="F25" s="32" t="s">
        <v>1701</v>
      </c>
      <c r="G25" s="33"/>
      <c r="H25" s="26"/>
      <c r="I25" s="27"/>
      <c r="J25" s="28"/>
      <c r="K25" s="28"/>
      <c r="L25" s="28"/>
      <c r="M25" s="28"/>
    </row>
    <row r="26" ht="15.75" customHeight="1">
      <c r="A26" s="20"/>
      <c r="B26" s="29">
        <v>23.0</v>
      </c>
      <c r="C26" s="30" t="s">
        <v>1405</v>
      </c>
      <c r="D26" s="30" t="s">
        <v>1406</v>
      </c>
      <c r="E26" s="31">
        <v>6.478591347E9</v>
      </c>
      <c r="F26" s="32" t="s">
        <v>1702</v>
      </c>
      <c r="G26" s="33"/>
      <c r="H26" s="26"/>
      <c r="I26" s="27"/>
      <c r="J26" s="28"/>
      <c r="K26" s="28"/>
      <c r="L26" s="28"/>
      <c r="M26" s="28"/>
    </row>
    <row r="27" ht="15.75" customHeight="1">
      <c r="A27" s="20"/>
      <c r="B27" s="29">
        <v>24.0</v>
      </c>
      <c r="C27" s="30" t="s">
        <v>1409</v>
      </c>
      <c r="D27" s="30" t="s">
        <v>1410</v>
      </c>
      <c r="E27" s="31">
        <v>4.168313799E9</v>
      </c>
      <c r="F27" s="32" t="s">
        <v>1703</v>
      </c>
      <c r="G27" s="33"/>
      <c r="H27" s="26"/>
      <c r="I27" s="27"/>
      <c r="J27" s="28"/>
      <c r="K27" s="28"/>
      <c r="L27" s="28"/>
      <c r="M27" s="28"/>
    </row>
    <row r="28" ht="15.75" customHeight="1">
      <c r="A28" s="20"/>
      <c r="B28" s="29">
        <v>25.0</v>
      </c>
      <c r="C28" s="30" t="s">
        <v>1413</v>
      </c>
      <c r="D28" s="30" t="s">
        <v>1414</v>
      </c>
      <c r="E28" s="31">
        <v>4.168226091E9</v>
      </c>
      <c r="F28" s="32" t="s">
        <v>1704</v>
      </c>
      <c r="G28" s="33"/>
      <c r="H28" s="26"/>
      <c r="I28" s="27"/>
      <c r="J28" s="28"/>
      <c r="K28" s="28"/>
      <c r="L28" s="28"/>
      <c r="M28" s="28"/>
    </row>
    <row r="29" ht="15.75" customHeight="1">
      <c r="A29" s="20"/>
      <c r="B29" s="29">
        <v>26.0</v>
      </c>
      <c r="C29" s="30" t="s">
        <v>1464</v>
      </c>
      <c r="D29" s="30" t="s">
        <v>1465</v>
      </c>
      <c r="E29" s="31">
        <v>4.167281196E9</v>
      </c>
      <c r="F29" s="32" t="s">
        <v>1705</v>
      </c>
      <c r="G29" s="33"/>
      <c r="H29" s="26"/>
      <c r="I29" s="27"/>
      <c r="J29" s="28"/>
      <c r="K29" s="28"/>
      <c r="L29" s="28"/>
      <c r="M29" s="28"/>
    </row>
    <row r="30" ht="15.75" customHeight="1">
      <c r="A30" s="20"/>
      <c r="B30" s="29">
        <v>27.0</v>
      </c>
      <c r="C30" s="30" t="s">
        <v>1706</v>
      </c>
      <c r="D30" s="30" t="s">
        <v>1461</v>
      </c>
      <c r="E30" s="31">
        <v>2.898853418E9</v>
      </c>
      <c r="F30" s="32" t="s">
        <v>1707</v>
      </c>
      <c r="G30" s="33"/>
      <c r="H30" s="26"/>
      <c r="I30" s="27"/>
      <c r="J30" s="28"/>
      <c r="K30" s="28"/>
      <c r="L30" s="28"/>
      <c r="M30" s="28"/>
    </row>
    <row r="31" ht="15.75" customHeight="1">
      <c r="A31" s="20"/>
      <c r="B31" s="29">
        <v>28.0</v>
      </c>
      <c r="C31" s="30" t="s">
        <v>1456</v>
      </c>
      <c r="D31" s="30" t="s">
        <v>1457</v>
      </c>
      <c r="E31" s="31">
        <v>9.058707959E9</v>
      </c>
      <c r="F31" s="32" t="s">
        <v>1708</v>
      </c>
      <c r="G31" s="33"/>
      <c r="H31" s="26"/>
      <c r="I31" s="27"/>
      <c r="J31" s="28"/>
      <c r="K31" s="28"/>
      <c r="L31" s="28"/>
      <c r="M31" s="28"/>
    </row>
    <row r="32" ht="15.75" customHeight="1">
      <c r="A32" s="20"/>
      <c r="B32" s="29">
        <v>29.0</v>
      </c>
      <c r="C32" s="30" t="s">
        <v>1452</v>
      </c>
      <c r="D32" s="30" t="s">
        <v>1453</v>
      </c>
      <c r="E32" s="31">
        <v>6.477010862E9</v>
      </c>
      <c r="F32" s="32" t="s">
        <v>1709</v>
      </c>
      <c r="G32" s="33"/>
      <c r="H32" s="26"/>
      <c r="I32" s="27"/>
      <c r="J32" s="28"/>
      <c r="K32" s="28"/>
      <c r="L32" s="28"/>
      <c r="M32" s="28"/>
    </row>
    <row r="33" ht="15.75" customHeight="1">
      <c r="A33" s="20"/>
      <c r="B33" s="29">
        <v>30.0</v>
      </c>
      <c r="C33" s="30" t="s">
        <v>1448</v>
      </c>
      <c r="D33" s="30" t="s">
        <v>1449</v>
      </c>
      <c r="E33" s="31">
        <v>2.899338618E9</v>
      </c>
      <c r="F33" s="32" t="s">
        <v>1710</v>
      </c>
      <c r="G33" s="33"/>
      <c r="H33" s="26"/>
      <c r="I33" s="27"/>
      <c r="J33" s="28"/>
      <c r="K33" s="28"/>
      <c r="L33" s="28"/>
      <c r="M33" s="28"/>
    </row>
    <row r="34" ht="15.75" customHeight="1">
      <c r="A34" s="20"/>
      <c r="B34" s="29">
        <v>31.0</v>
      </c>
      <c r="C34" s="30" t="s">
        <v>1444</v>
      </c>
      <c r="D34" s="30" t="s">
        <v>1445</v>
      </c>
      <c r="E34" s="31">
        <v>9.056866861E9</v>
      </c>
      <c r="F34" s="32" t="s">
        <v>1711</v>
      </c>
      <c r="G34" s="33"/>
      <c r="H34" s="42"/>
      <c r="I34" s="27"/>
      <c r="J34" s="28"/>
      <c r="K34" s="28"/>
      <c r="L34" s="28"/>
      <c r="M34" s="28"/>
    </row>
    <row r="35" ht="15.75" customHeight="1">
      <c r="A35" s="20"/>
      <c r="B35" s="29">
        <v>32.0</v>
      </c>
      <c r="C35" s="30" t="s">
        <v>1440</v>
      </c>
      <c r="D35" s="30" t="s">
        <v>1441</v>
      </c>
      <c r="E35" s="31">
        <v>9.059871958E9</v>
      </c>
      <c r="F35" s="32" t="s">
        <v>1712</v>
      </c>
      <c r="G35" s="33"/>
      <c r="H35" s="26"/>
      <c r="I35" s="27"/>
      <c r="J35" s="28"/>
      <c r="K35" s="28"/>
      <c r="L35" s="28"/>
      <c r="M35" s="28"/>
    </row>
    <row r="36" ht="15.75" customHeight="1">
      <c r="A36" s="20"/>
      <c r="B36" s="29">
        <v>33.0</v>
      </c>
      <c r="C36" s="30" t="s">
        <v>1436</v>
      </c>
      <c r="D36" s="30" t="s">
        <v>1437</v>
      </c>
      <c r="E36" s="31">
        <v>4.168766155E9</v>
      </c>
      <c r="F36" s="32" t="s">
        <v>1713</v>
      </c>
      <c r="G36" s="33"/>
      <c r="H36" s="42"/>
      <c r="I36" s="27"/>
      <c r="J36" s="28"/>
      <c r="K36" s="28"/>
      <c r="L36" s="28"/>
      <c r="M36" s="28"/>
    </row>
    <row r="37" ht="15.75" customHeight="1">
      <c r="A37" s="20"/>
      <c r="B37" s="29">
        <v>34.0</v>
      </c>
      <c r="C37" s="30" t="s">
        <v>1428</v>
      </c>
      <c r="D37" s="30" t="s">
        <v>1429</v>
      </c>
      <c r="E37" s="31">
        <v>6.479966561E9</v>
      </c>
      <c r="F37" s="32" t="s">
        <v>1714</v>
      </c>
      <c r="G37" s="33"/>
      <c r="H37" s="26"/>
      <c r="I37" s="27"/>
      <c r="J37" s="28"/>
      <c r="K37" s="28"/>
      <c r="L37" s="28"/>
      <c r="M37" s="28"/>
    </row>
    <row r="38" ht="15.75" customHeight="1">
      <c r="A38" s="20"/>
      <c r="B38" s="29">
        <v>35.0</v>
      </c>
      <c r="C38" s="30" t="s">
        <v>1425</v>
      </c>
      <c r="D38" s="30" t="s">
        <v>428</v>
      </c>
      <c r="E38" s="31">
        <v>6.479571128E9</v>
      </c>
      <c r="F38" s="32" t="s">
        <v>1715</v>
      </c>
      <c r="G38" s="33"/>
      <c r="H38" s="26"/>
      <c r="I38" s="27"/>
      <c r="J38" s="28"/>
      <c r="K38" s="28"/>
      <c r="L38" s="28"/>
      <c r="M38" s="28"/>
    </row>
    <row r="39" ht="15.75" customHeight="1">
      <c r="A39" s="20"/>
      <c r="B39" s="29">
        <v>36.0</v>
      </c>
      <c r="C39" s="30" t="s">
        <v>1716</v>
      </c>
      <c r="D39" s="30" t="s">
        <v>1717</v>
      </c>
      <c r="E39" s="31">
        <v>4.378492069E9</v>
      </c>
      <c r="F39" s="32" t="s">
        <v>1718</v>
      </c>
      <c r="G39" s="33"/>
      <c r="H39" s="26"/>
      <c r="I39" s="27"/>
      <c r="J39" s="28"/>
      <c r="K39" s="28"/>
      <c r="L39" s="28"/>
      <c r="M39" s="28"/>
    </row>
    <row r="40" ht="15.75" customHeight="1">
      <c r="A40" s="20"/>
      <c r="B40" s="29">
        <v>37.0</v>
      </c>
      <c r="C40" s="30" t="s">
        <v>1719</v>
      </c>
      <c r="D40" s="30" t="s">
        <v>1418</v>
      </c>
      <c r="E40" s="31">
        <v>4.378182723E9</v>
      </c>
      <c r="F40" s="32" t="s">
        <v>1720</v>
      </c>
      <c r="G40" s="33"/>
      <c r="H40" s="26"/>
      <c r="I40" s="27"/>
      <c r="J40" s="28"/>
      <c r="K40" s="28"/>
      <c r="L40" s="28"/>
      <c r="M40" s="28"/>
    </row>
    <row r="41" ht="15.75" customHeight="1">
      <c r="A41" s="20"/>
      <c r="B41" s="29">
        <v>38.0</v>
      </c>
      <c r="C41" s="30" t="s">
        <v>1188</v>
      </c>
      <c r="D41" s="30" t="s">
        <v>1269</v>
      </c>
      <c r="E41" s="31">
        <v>4.379731314E9</v>
      </c>
      <c r="F41" s="32" t="s">
        <v>1721</v>
      </c>
      <c r="G41" s="33"/>
      <c r="H41" s="26"/>
      <c r="I41" s="27"/>
      <c r="J41" s="28"/>
      <c r="K41" s="28"/>
      <c r="L41" s="28"/>
      <c r="M41" s="28"/>
    </row>
    <row r="42" ht="15.75" customHeight="1">
      <c r="A42" s="20"/>
      <c r="B42" s="29">
        <v>39.0</v>
      </c>
      <c r="C42" s="30" t="s">
        <v>1486</v>
      </c>
      <c r="D42" s="30" t="s">
        <v>1487</v>
      </c>
      <c r="E42" s="31">
        <v>6.474039728E9</v>
      </c>
      <c r="F42" s="32" t="s">
        <v>1722</v>
      </c>
      <c r="G42" s="33"/>
      <c r="H42" s="26"/>
      <c r="I42" s="27"/>
      <c r="J42" s="28"/>
      <c r="K42" s="28"/>
      <c r="L42" s="28"/>
      <c r="M42" s="28"/>
    </row>
    <row r="43" ht="15.75" customHeight="1">
      <c r="A43" s="20"/>
      <c r="B43" s="29">
        <v>40.0</v>
      </c>
      <c r="C43" s="30" t="s">
        <v>1482</v>
      </c>
      <c r="D43" s="30" t="s">
        <v>1483</v>
      </c>
      <c r="E43" s="31">
        <v>9.052599453E9</v>
      </c>
      <c r="F43" s="32" t="s">
        <v>1723</v>
      </c>
      <c r="G43" s="33"/>
      <c r="H43" s="26"/>
      <c r="I43" s="27"/>
      <c r="J43" s="28"/>
      <c r="K43" s="28"/>
      <c r="L43" s="28"/>
      <c r="M43" s="28"/>
    </row>
    <row r="44" ht="15.75" customHeight="1">
      <c r="A44" s="20"/>
      <c r="B44" s="29">
        <v>41.0</v>
      </c>
      <c r="C44" s="30" t="s">
        <v>1479</v>
      </c>
      <c r="D44" s="30" t="s">
        <v>167</v>
      </c>
      <c r="E44" s="31">
        <v>5.195620672E9</v>
      </c>
      <c r="F44" s="32" t="s">
        <v>1724</v>
      </c>
      <c r="G44" s="33"/>
      <c r="H44" s="26"/>
      <c r="I44" s="27"/>
      <c r="J44" s="28"/>
      <c r="K44" s="28"/>
      <c r="L44" s="28"/>
      <c r="M44" s="28"/>
    </row>
    <row r="45" ht="15.75" customHeight="1">
      <c r="A45" s="20"/>
      <c r="B45" s="29">
        <v>42.0</v>
      </c>
      <c r="C45" s="30" t="s">
        <v>1475</v>
      </c>
      <c r="D45" s="30" t="s">
        <v>1476</v>
      </c>
      <c r="E45" s="31">
        <v>6.477466402E9</v>
      </c>
      <c r="F45" s="32" t="s">
        <v>1725</v>
      </c>
      <c r="G45" s="33"/>
      <c r="H45" s="26"/>
      <c r="I45" s="27"/>
      <c r="J45" s="28"/>
      <c r="K45" s="28"/>
      <c r="L45" s="28"/>
      <c r="M45" s="28"/>
    </row>
    <row r="46" ht="15.75" customHeight="1">
      <c r="A46" s="20"/>
      <c r="B46" s="29">
        <v>43.0</v>
      </c>
      <c r="C46" s="30" t="s">
        <v>1472</v>
      </c>
      <c r="D46" s="30" t="s">
        <v>753</v>
      </c>
      <c r="E46" s="31">
        <v>4.169535476E9</v>
      </c>
      <c r="F46" s="32" t="s">
        <v>1726</v>
      </c>
      <c r="G46" s="33"/>
      <c r="H46" s="26"/>
      <c r="I46" s="27"/>
      <c r="J46" s="28"/>
      <c r="K46" s="28"/>
      <c r="L46" s="28"/>
      <c r="M46" s="28"/>
    </row>
    <row r="47" ht="15.75" customHeight="1">
      <c r="A47" s="20"/>
      <c r="B47" s="29">
        <v>44.0</v>
      </c>
      <c r="C47" s="30" t="s">
        <v>1468</v>
      </c>
      <c r="D47" s="30" t="s">
        <v>1469</v>
      </c>
      <c r="E47" s="31">
        <v>6.475134318E9</v>
      </c>
      <c r="F47" s="32" t="s">
        <v>1727</v>
      </c>
      <c r="G47" s="33"/>
      <c r="H47" s="26"/>
      <c r="I47" s="27"/>
      <c r="J47" s="28"/>
      <c r="K47" s="28"/>
      <c r="L47" s="28"/>
      <c r="M47" s="28"/>
    </row>
    <row r="48" ht="15.75" customHeight="1">
      <c r="A48" s="20"/>
      <c r="B48" s="29">
        <v>45.0</v>
      </c>
      <c r="C48" s="30" t="s">
        <v>1728</v>
      </c>
      <c r="D48" s="30" t="s">
        <v>1729</v>
      </c>
      <c r="E48" s="31">
        <v>6.476754632E9</v>
      </c>
      <c r="F48" s="32" t="s">
        <v>1730</v>
      </c>
      <c r="G48" s="30"/>
      <c r="H48" s="42"/>
      <c r="I48" s="27"/>
      <c r="J48" s="28"/>
      <c r="K48" s="28"/>
      <c r="L48" s="28"/>
      <c r="M48" s="28"/>
    </row>
    <row r="49" ht="15.75" customHeight="1">
      <c r="A49" s="20"/>
      <c r="B49" s="29">
        <v>46.0</v>
      </c>
      <c r="C49" s="30" t="s">
        <v>1731</v>
      </c>
      <c r="D49" s="30" t="s">
        <v>1732</v>
      </c>
      <c r="E49" s="31">
        <v>4.167050577E9</v>
      </c>
      <c r="F49" s="32" t="s">
        <v>1733</v>
      </c>
      <c r="G49" s="30"/>
      <c r="H49" s="26"/>
      <c r="I49" s="27"/>
      <c r="J49" s="28"/>
      <c r="K49" s="28"/>
      <c r="L49" s="28"/>
      <c r="M49" s="28"/>
    </row>
    <row r="50" ht="15.75" customHeight="1">
      <c r="A50" s="20"/>
      <c r="B50" s="29">
        <v>47.0</v>
      </c>
      <c r="C50" s="30" t="s">
        <v>1734</v>
      </c>
      <c r="D50" s="30" t="s">
        <v>1735</v>
      </c>
      <c r="E50" s="31">
        <v>6.478621616E9</v>
      </c>
      <c r="F50" s="32" t="s">
        <v>1736</v>
      </c>
      <c r="G50" s="30"/>
      <c r="H50" s="26"/>
      <c r="I50" s="27"/>
      <c r="J50" s="28"/>
      <c r="K50" s="28"/>
      <c r="L50" s="28"/>
      <c r="M50" s="28"/>
    </row>
    <row r="51" ht="15.75" customHeight="1">
      <c r="A51" s="20"/>
      <c r="B51" s="29">
        <v>48.0</v>
      </c>
      <c r="C51" s="30" t="s">
        <v>1737</v>
      </c>
      <c r="D51" s="30" t="s">
        <v>1738</v>
      </c>
      <c r="E51" s="31">
        <f>9203340066640</f>
        <v>9203340066640</v>
      </c>
      <c r="F51" s="32" t="s">
        <v>1739</v>
      </c>
      <c r="G51" s="30"/>
      <c r="H51" s="26"/>
      <c r="I51" s="27"/>
      <c r="J51" s="28"/>
      <c r="K51" s="28"/>
      <c r="L51" s="28"/>
      <c r="M51" s="28"/>
    </row>
    <row r="52" ht="15.75" customHeight="1">
      <c r="A52" s="20"/>
      <c r="B52" s="29">
        <v>49.0</v>
      </c>
      <c r="C52" s="30" t="s">
        <v>1390</v>
      </c>
      <c r="D52" s="30" t="s">
        <v>1391</v>
      </c>
      <c r="E52" s="31">
        <v>6.477139512E9</v>
      </c>
      <c r="F52" s="32" t="s">
        <v>1696</v>
      </c>
      <c r="G52" s="30"/>
      <c r="H52" s="26"/>
      <c r="I52" s="27"/>
      <c r="J52" s="28"/>
      <c r="K52" s="28"/>
      <c r="L52" s="28"/>
      <c r="M52" s="28"/>
    </row>
    <row r="53" ht="15.75" customHeight="1">
      <c r="A53" s="20"/>
      <c r="B53" s="29">
        <v>50.0</v>
      </c>
      <c r="C53" s="30" t="s">
        <v>1740</v>
      </c>
      <c r="D53" s="30" t="s">
        <v>1741</v>
      </c>
      <c r="E53" s="31">
        <v>6.478765E9</v>
      </c>
      <c r="F53" s="32" t="s">
        <v>1742</v>
      </c>
      <c r="G53" s="30"/>
      <c r="H53" s="26"/>
      <c r="I53" s="27"/>
      <c r="J53" s="28"/>
      <c r="K53" s="28"/>
      <c r="L53" s="28"/>
      <c r="M53" s="28"/>
    </row>
    <row r="54" ht="15.75" customHeight="1">
      <c r="A54" s="20"/>
      <c r="B54" s="29">
        <v>51.0</v>
      </c>
      <c r="C54" s="30" t="s">
        <v>1743</v>
      </c>
      <c r="D54" s="30" t="s">
        <v>1744</v>
      </c>
      <c r="E54" s="31">
        <v>6.478378901E9</v>
      </c>
      <c r="F54" s="32" t="s">
        <v>1745</v>
      </c>
      <c r="G54" s="30"/>
      <c r="H54" s="26"/>
      <c r="I54" s="27"/>
      <c r="J54" s="28"/>
      <c r="K54" s="28"/>
      <c r="L54" s="28"/>
      <c r="M54" s="28"/>
    </row>
    <row r="55" ht="15.75" customHeight="1">
      <c r="A55" s="20"/>
      <c r="B55" s="29">
        <v>52.0</v>
      </c>
      <c r="C55" s="30" t="s">
        <v>1746</v>
      </c>
      <c r="D55" s="30" t="s">
        <v>1747</v>
      </c>
      <c r="E55" s="31">
        <v>5.197219765E9</v>
      </c>
      <c r="F55" s="32" t="s">
        <v>1748</v>
      </c>
      <c r="G55" s="30"/>
      <c r="H55" s="42"/>
      <c r="I55" s="27"/>
      <c r="J55" s="28"/>
      <c r="K55" s="28"/>
      <c r="L55" s="28"/>
      <c r="M55" s="28"/>
    </row>
    <row r="56" ht="15.75" customHeight="1">
      <c r="A56" s="20"/>
      <c r="B56" s="29">
        <v>53.0</v>
      </c>
      <c r="C56" s="30" t="s">
        <v>1749</v>
      </c>
      <c r="D56" s="30" t="s">
        <v>1750</v>
      </c>
      <c r="E56" s="31">
        <v>9.058065289E9</v>
      </c>
      <c r="F56" s="32" t="s">
        <v>1751</v>
      </c>
      <c r="G56" s="30"/>
      <c r="H56" s="26"/>
      <c r="I56" s="27"/>
      <c r="J56" s="28"/>
      <c r="K56" s="28"/>
      <c r="L56" s="28"/>
      <c r="M56" s="28"/>
    </row>
    <row r="57" ht="15.75" customHeight="1">
      <c r="A57" s="20"/>
      <c r="B57" s="29">
        <v>54.0</v>
      </c>
      <c r="C57" s="30" t="s">
        <v>1055</v>
      </c>
      <c r="D57" s="30" t="s">
        <v>306</v>
      </c>
      <c r="E57" s="31">
        <v>6.479232085E9</v>
      </c>
      <c r="F57" s="32" t="s">
        <v>1752</v>
      </c>
      <c r="G57" s="33"/>
      <c r="H57" s="26"/>
      <c r="I57" s="27"/>
      <c r="J57" s="28"/>
      <c r="K57" s="28"/>
      <c r="L57" s="28"/>
      <c r="M57" s="28"/>
    </row>
    <row r="58" ht="15.75" customHeight="1">
      <c r="A58" s="20"/>
      <c r="B58" s="29">
        <v>55.0</v>
      </c>
      <c r="C58" s="30" t="s">
        <v>1492</v>
      </c>
      <c r="D58" s="30" t="s">
        <v>1493</v>
      </c>
      <c r="E58" s="31">
        <f>923322230603</f>
        <v>923322230603</v>
      </c>
      <c r="F58" s="32" t="s">
        <v>1753</v>
      </c>
      <c r="G58" s="33"/>
      <c r="H58" s="26"/>
      <c r="I58" s="27"/>
      <c r="J58" s="28"/>
      <c r="K58" s="28"/>
      <c r="L58" s="28"/>
      <c r="M58" s="28"/>
    </row>
    <row r="59" ht="15.75" customHeight="1">
      <c r="A59" s="20"/>
      <c r="B59" s="29">
        <v>56.0</v>
      </c>
      <c r="C59" s="30" t="s">
        <v>936</v>
      </c>
      <c r="D59" s="30" t="s">
        <v>753</v>
      </c>
      <c r="E59" s="31">
        <v>4.163199429E9</v>
      </c>
      <c r="F59" s="32" t="s">
        <v>1754</v>
      </c>
      <c r="G59" s="33"/>
      <c r="H59" s="26"/>
      <c r="I59" s="27"/>
      <c r="J59" s="28"/>
      <c r="K59" s="28"/>
      <c r="L59" s="28"/>
      <c r="M59" s="28"/>
    </row>
    <row r="60" ht="15.75" customHeight="1">
      <c r="A60" s="20"/>
      <c r="B60" s="43">
        <v>57.0</v>
      </c>
      <c r="C60" s="44" t="s">
        <v>1755</v>
      </c>
      <c r="D60" s="44" t="s">
        <v>1756</v>
      </c>
      <c r="E60" s="45">
        <v>6.473814409E9</v>
      </c>
      <c r="F60" s="46" t="s">
        <v>1757</v>
      </c>
      <c r="G60" s="47"/>
      <c r="H60" s="26"/>
      <c r="I60" s="27"/>
      <c r="J60" s="28"/>
      <c r="K60" s="28"/>
      <c r="L60" s="28"/>
      <c r="M60" s="28"/>
    </row>
    <row r="61" ht="15.75" customHeight="1">
      <c r="A61" s="20"/>
      <c r="B61" s="29">
        <v>58.0</v>
      </c>
      <c r="C61" s="30" t="s">
        <v>1286</v>
      </c>
      <c r="D61" s="30" t="s">
        <v>1758</v>
      </c>
      <c r="E61" s="31">
        <v>8.076217233E9</v>
      </c>
      <c r="F61" s="32" t="s">
        <v>1759</v>
      </c>
      <c r="G61" s="33"/>
      <c r="H61" s="26"/>
      <c r="I61" s="27"/>
      <c r="J61" s="28"/>
      <c r="K61" s="28"/>
      <c r="L61" s="28"/>
      <c r="M61" s="28"/>
    </row>
    <row r="62" ht="15.75" customHeight="1">
      <c r="A62" s="20"/>
      <c r="B62" s="29">
        <v>59.0</v>
      </c>
      <c r="C62" s="30" t="s">
        <v>1760</v>
      </c>
      <c r="D62" s="30" t="s">
        <v>1761</v>
      </c>
      <c r="E62" s="31">
        <v>4.163895621E9</v>
      </c>
      <c r="F62" s="32" t="s">
        <v>1762</v>
      </c>
      <c r="G62" s="33"/>
      <c r="H62" s="27"/>
      <c r="I62" s="27"/>
      <c r="J62" s="28"/>
      <c r="K62" s="28"/>
      <c r="L62" s="28"/>
      <c r="M62" s="28"/>
    </row>
    <row r="63" ht="15.75" customHeight="1">
      <c r="A63" s="20"/>
      <c r="B63" s="29">
        <v>60.0</v>
      </c>
      <c r="C63" s="30" t="s">
        <v>933</v>
      </c>
      <c r="D63" s="30" t="s">
        <v>1763</v>
      </c>
      <c r="E63" s="31">
        <v>7.0535032E9</v>
      </c>
      <c r="F63" s="32" t="s">
        <v>1764</v>
      </c>
      <c r="G63" s="33"/>
      <c r="H63" s="27"/>
      <c r="I63" s="27"/>
      <c r="J63" s="28"/>
      <c r="K63" s="28"/>
      <c r="L63" s="28"/>
      <c r="M63" s="28"/>
    </row>
    <row r="64" ht="15.75" customHeight="1">
      <c r="A64" s="20"/>
      <c r="B64" s="29">
        <v>61.0</v>
      </c>
      <c r="C64" s="30" t="s">
        <v>110</v>
      </c>
      <c r="D64" s="30" t="s">
        <v>1765</v>
      </c>
      <c r="E64" s="31">
        <v>6.479744141E9</v>
      </c>
      <c r="F64" s="32" t="s">
        <v>1766</v>
      </c>
      <c r="G64" s="33"/>
      <c r="H64" s="27"/>
      <c r="I64" s="27"/>
      <c r="J64" s="28"/>
      <c r="K64" s="28"/>
      <c r="L64" s="28"/>
      <c r="M64" s="28"/>
    </row>
    <row r="65" ht="15.75" customHeight="1">
      <c r="A65" s="20"/>
      <c r="B65" s="29">
        <v>62.0</v>
      </c>
      <c r="C65" s="30" t="s">
        <v>1767</v>
      </c>
      <c r="D65" s="30" t="s">
        <v>7</v>
      </c>
      <c r="E65" s="31">
        <v>4.162250078E9</v>
      </c>
      <c r="F65" s="32" t="s">
        <v>1768</v>
      </c>
      <c r="G65" s="33"/>
      <c r="H65" s="27"/>
      <c r="I65" s="27"/>
      <c r="J65" s="28"/>
      <c r="K65" s="28"/>
      <c r="L65" s="28"/>
      <c r="M65" s="28"/>
    </row>
    <row r="66" ht="15.75" customHeight="1">
      <c r="A66" s="20"/>
      <c r="B66" s="29">
        <v>63.0</v>
      </c>
      <c r="C66" s="30" t="s">
        <v>1769</v>
      </c>
      <c r="D66" s="30" t="s">
        <v>1770</v>
      </c>
      <c r="E66" s="31">
        <v>6.478919581E9</v>
      </c>
      <c r="F66" s="32" t="s">
        <v>1771</v>
      </c>
      <c r="G66" s="33"/>
      <c r="H66" s="27"/>
      <c r="I66" s="27"/>
      <c r="J66" s="28"/>
      <c r="K66" s="28"/>
      <c r="L66" s="28"/>
      <c r="M66" s="28"/>
    </row>
    <row r="67" ht="15.75" customHeight="1">
      <c r="A67" s="20"/>
      <c r="B67" s="43">
        <v>64.0</v>
      </c>
      <c r="C67" s="44" t="s">
        <v>1499</v>
      </c>
      <c r="D67" s="44" t="s">
        <v>1500</v>
      </c>
      <c r="E67" s="45">
        <v>6.476866879E9</v>
      </c>
      <c r="F67" s="46" t="s">
        <v>1772</v>
      </c>
      <c r="G67" s="47"/>
      <c r="H67" s="48"/>
      <c r="I67" s="42"/>
      <c r="J67" s="28"/>
      <c r="K67" s="28"/>
      <c r="L67" s="28"/>
      <c r="M67" s="28"/>
    </row>
    <row r="68" ht="15.75" customHeight="1">
      <c r="A68" s="20"/>
      <c r="B68" s="49">
        <v>65.0</v>
      </c>
      <c r="C68" s="50" t="s">
        <v>1773</v>
      </c>
      <c r="D68" s="50" t="s">
        <v>1774</v>
      </c>
      <c r="E68" s="51">
        <v>6.472023384E9</v>
      </c>
      <c r="F68" s="52" t="s">
        <v>1775</v>
      </c>
      <c r="G68" s="53"/>
      <c r="H68" s="26"/>
      <c r="I68" s="27"/>
      <c r="J68" s="28"/>
      <c r="K68" s="28"/>
      <c r="L68" s="28"/>
      <c r="M68" s="28"/>
    </row>
    <row r="69" ht="15.75" customHeight="1">
      <c r="A69" s="20"/>
      <c r="B69" s="29">
        <v>66.0</v>
      </c>
      <c r="C69" s="30" t="s">
        <v>1776</v>
      </c>
      <c r="D69" s="30" t="s">
        <v>1777</v>
      </c>
      <c r="E69" s="31">
        <v>4.169535375E9</v>
      </c>
      <c r="F69" s="32" t="s">
        <v>1778</v>
      </c>
      <c r="G69" s="33"/>
      <c r="H69" s="26"/>
      <c r="I69" s="27"/>
      <c r="J69" s="28"/>
      <c r="K69" s="28"/>
      <c r="L69" s="28"/>
      <c r="M69" s="28"/>
    </row>
    <row r="70" ht="15.75" customHeight="1">
      <c r="A70" s="20"/>
      <c r="B70" s="29">
        <v>67.0</v>
      </c>
      <c r="C70" s="30" t="s">
        <v>1779</v>
      </c>
      <c r="D70" s="30" t="s">
        <v>624</v>
      </c>
      <c r="E70" s="31">
        <v>3.022132151E9</v>
      </c>
      <c r="F70" s="32" t="s">
        <v>1780</v>
      </c>
      <c r="G70" s="33"/>
      <c r="H70" s="26"/>
      <c r="I70" s="27"/>
      <c r="J70" s="28"/>
      <c r="K70" s="28"/>
      <c r="L70" s="28"/>
      <c r="M70" s="28"/>
    </row>
    <row r="71" ht="15.75" customHeight="1">
      <c r="A71" s="20"/>
      <c r="B71" s="29">
        <v>68.0</v>
      </c>
      <c r="C71" s="30" t="s">
        <v>1197</v>
      </c>
      <c r="D71" s="30" t="s">
        <v>1781</v>
      </c>
      <c r="E71" s="31">
        <v>6.473093588E9</v>
      </c>
      <c r="F71" s="32" t="s">
        <v>1782</v>
      </c>
      <c r="G71" s="33"/>
      <c r="H71" s="26"/>
      <c r="I71" s="27"/>
      <c r="J71" s="28"/>
      <c r="K71" s="28"/>
      <c r="L71" s="28"/>
      <c r="M71" s="28"/>
    </row>
    <row r="72" ht="15.75" customHeight="1">
      <c r="A72" s="20"/>
      <c r="B72" s="29">
        <v>69.0</v>
      </c>
      <c r="C72" s="30" t="s">
        <v>1783</v>
      </c>
      <c r="D72" s="30" t="s">
        <v>1784</v>
      </c>
      <c r="E72" s="31">
        <v>4.163564646E9</v>
      </c>
      <c r="F72" s="32" t="s">
        <v>1785</v>
      </c>
      <c r="G72" s="33"/>
      <c r="H72" s="26"/>
      <c r="I72" s="27"/>
      <c r="J72" s="28"/>
      <c r="K72" s="28"/>
      <c r="L72" s="28"/>
      <c r="M72" s="28"/>
    </row>
    <row r="73" ht="15.75" customHeight="1">
      <c r="A73" s="20"/>
      <c r="B73" s="29">
        <v>70.0</v>
      </c>
      <c r="C73" s="30" t="s">
        <v>1402</v>
      </c>
      <c r="D73" s="30" t="s">
        <v>1786</v>
      </c>
      <c r="E73" s="31">
        <v>9.728918588E9</v>
      </c>
      <c r="F73" s="32" t="s">
        <v>1787</v>
      </c>
      <c r="G73" s="33"/>
      <c r="H73" s="26"/>
      <c r="I73" s="27"/>
      <c r="J73" s="28"/>
      <c r="K73" s="28"/>
      <c r="L73" s="28"/>
      <c r="M73" s="28"/>
    </row>
    <row r="74" ht="15.75" customHeight="1">
      <c r="A74" s="20"/>
      <c r="B74" s="29">
        <v>71.0</v>
      </c>
      <c r="C74" s="30" t="s">
        <v>1788</v>
      </c>
      <c r="D74" s="30" t="s">
        <v>1789</v>
      </c>
      <c r="E74" s="31">
        <v>6.479391264E9</v>
      </c>
      <c r="F74" s="32" t="s">
        <v>1790</v>
      </c>
      <c r="G74" s="33"/>
      <c r="H74" s="26"/>
      <c r="I74" s="27"/>
      <c r="J74" s="28"/>
      <c r="K74" s="28"/>
      <c r="L74" s="28"/>
      <c r="M74" s="28"/>
    </row>
    <row r="75" ht="15.75" customHeight="1">
      <c r="A75" s="20"/>
      <c r="B75" s="29">
        <v>72.0</v>
      </c>
      <c r="C75" s="30" t="s">
        <v>1791</v>
      </c>
      <c r="D75" s="30" t="s">
        <v>1792</v>
      </c>
      <c r="E75" s="31">
        <v>6.479045399E9</v>
      </c>
      <c r="F75" s="32" t="s">
        <v>1793</v>
      </c>
      <c r="G75" s="33"/>
      <c r="H75" s="26"/>
      <c r="I75" s="27"/>
      <c r="J75" s="28"/>
      <c r="K75" s="28"/>
      <c r="L75" s="28"/>
      <c r="M75" s="28"/>
    </row>
    <row r="76" ht="15.75" customHeight="1">
      <c r="A76" s="20"/>
      <c r="B76" s="29">
        <v>73.0</v>
      </c>
      <c r="C76" s="30" t="s">
        <v>1794</v>
      </c>
      <c r="D76" s="30" t="s">
        <v>1795</v>
      </c>
      <c r="E76" s="31">
        <v>4.168686599E9</v>
      </c>
      <c r="F76" s="32" t="s">
        <v>1796</v>
      </c>
      <c r="G76" s="33"/>
      <c r="H76" s="26"/>
      <c r="I76" s="27"/>
      <c r="J76" s="28"/>
      <c r="K76" s="28"/>
      <c r="L76" s="28"/>
      <c r="M76" s="28"/>
    </row>
    <row r="77" ht="15.75" customHeight="1">
      <c r="A77" s="20"/>
      <c r="B77" s="29">
        <v>74.0</v>
      </c>
      <c r="C77" s="30" t="s">
        <v>1797</v>
      </c>
      <c r="D77" s="30" t="s">
        <v>1798</v>
      </c>
      <c r="E77" s="31">
        <v>9.059267718E9</v>
      </c>
      <c r="F77" s="32" t="s">
        <v>1799</v>
      </c>
      <c r="G77" s="54"/>
      <c r="H77" s="26"/>
      <c r="I77" s="55"/>
      <c r="J77" s="56"/>
      <c r="K77" s="56"/>
      <c r="L77" s="56"/>
      <c r="M77" s="56"/>
    </row>
    <row r="78" ht="15.75" customHeight="1">
      <c r="A78" s="20"/>
      <c r="B78" s="29">
        <v>75.0</v>
      </c>
      <c r="C78" s="30" t="s">
        <v>1800</v>
      </c>
      <c r="D78" s="30" t="s">
        <v>753</v>
      </c>
      <c r="E78" s="31">
        <v>6.47631854E9</v>
      </c>
      <c r="F78" s="32" t="s">
        <v>1801</v>
      </c>
      <c r="G78" s="54"/>
      <c r="H78" s="26"/>
      <c r="I78" s="55"/>
      <c r="J78" s="56"/>
      <c r="K78" s="56"/>
      <c r="L78" s="56"/>
      <c r="M78" s="56"/>
    </row>
    <row r="79" ht="15.75" customHeight="1">
      <c r="A79" s="20"/>
      <c r="B79" s="29">
        <v>76.0</v>
      </c>
      <c r="C79" s="30" t="s">
        <v>1528</v>
      </c>
      <c r="D79" s="30" t="s">
        <v>1529</v>
      </c>
      <c r="E79" s="31">
        <v>6.478011968E9</v>
      </c>
      <c r="F79" s="32" t="s">
        <v>1802</v>
      </c>
      <c r="G79" s="54"/>
      <c r="H79" s="26"/>
      <c r="I79" s="55"/>
      <c r="J79" s="56"/>
      <c r="K79" s="56"/>
      <c r="L79" s="56"/>
      <c r="M79" s="56"/>
    </row>
    <row r="80" ht="15.75" customHeight="1">
      <c r="A80" s="20"/>
      <c r="B80" s="29">
        <v>77.0</v>
      </c>
      <c r="C80" s="30" t="s">
        <v>1803</v>
      </c>
      <c r="D80" s="30" t="s">
        <v>1804</v>
      </c>
      <c r="E80" s="31">
        <v>6.479244025E9</v>
      </c>
      <c r="F80" s="32" t="s">
        <v>1805</v>
      </c>
      <c r="G80" s="54"/>
      <c r="H80" s="26"/>
      <c r="I80" s="55"/>
      <c r="J80" s="56"/>
      <c r="K80" s="56"/>
      <c r="L80" s="56"/>
      <c r="M80" s="56"/>
    </row>
    <row r="81" ht="15.75" customHeight="1">
      <c r="A81" s="20"/>
      <c r="B81" s="29">
        <v>78.0</v>
      </c>
      <c r="C81" s="30" t="s">
        <v>1806</v>
      </c>
      <c r="D81" s="30" t="s">
        <v>1807</v>
      </c>
      <c r="E81" s="31">
        <v>5.149290894E9</v>
      </c>
      <c r="F81" s="32" t="s">
        <v>1808</v>
      </c>
      <c r="G81" s="54"/>
      <c r="H81" s="26"/>
      <c r="I81" s="55"/>
      <c r="J81" s="56"/>
      <c r="K81" s="56"/>
      <c r="L81" s="56"/>
      <c r="M81" s="56"/>
    </row>
    <row r="82" ht="15.75" customHeight="1">
      <c r="A82" s="20"/>
      <c r="B82" s="29">
        <v>79.0</v>
      </c>
      <c r="C82" s="30" t="s">
        <v>1809</v>
      </c>
      <c r="D82" s="30" t="s">
        <v>1810</v>
      </c>
      <c r="E82" s="31">
        <v>4.168191044E9</v>
      </c>
      <c r="F82" s="32" t="s">
        <v>1811</v>
      </c>
      <c r="G82" s="54"/>
      <c r="H82" s="26"/>
      <c r="I82" s="55"/>
      <c r="J82" s="56"/>
      <c r="K82" s="56"/>
      <c r="L82" s="56"/>
      <c r="M82" s="56"/>
    </row>
    <row r="83" ht="15.75" customHeight="1">
      <c r="A83" s="20"/>
      <c r="B83" s="29">
        <v>80.0</v>
      </c>
      <c r="C83" s="30" t="s">
        <v>1812</v>
      </c>
      <c r="D83" s="30" t="s">
        <v>1813</v>
      </c>
      <c r="E83" s="31">
        <v>4.162580841E9</v>
      </c>
      <c r="F83" s="32" t="s">
        <v>1814</v>
      </c>
      <c r="G83" s="54"/>
      <c r="H83" s="26"/>
      <c r="I83" s="55"/>
      <c r="J83" s="56"/>
      <c r="K83" s="56"/>
      <c r="L83" s="56"/>
      <c r="M83" s="56"/>
    </row>
    <row r="84" ht="15.75" customHeight="1">
      <c r="A84" s="20"/>
      <c r="B84" s="29">
        <v>81.0</v>
      </c>
      <c r="C84" s="30" t="s">
        <v>1815</v>
      </c>
      <c r="D84" s="30" t="s">
        <v>1816</v>
      </c>
      <c r="E84" s="31">
        <v>6.479712538E9</v>
      </c>
      <c r="F84" s="32" t="s">
        <v>1817</v>
      </c>
      <c r="G84" s="54"/>
      <c r="H84" s="26"/>
      <c r="I84" s="55"/>
      <c r="J84" s="56"/>
      <c r="K84" s="56"/>
      <c r="L84" s="56"/>
      <c r="M84" s="56"/>
    </row>
    <row r="85" ht="15.75" customHeight="1">
      <c r="A85" s="20"/>
      <c r="B85" s="29">
        <v>82.0</v>
      </c>
      <c r="C85" s="30" t="s">
        <v>1818</v>
      </c>
      <c r="D85" s="30" t="s">
        <v>1819</v>
      </c>
      <c r="E85" s="31">
        <v>6.476484857E9</v>
      </c>
      <c r="F85" s="32" t="s">
        <v>1820</v>
      </c>
      <c r="G85" s="54"/>
      <c r="H85" s="26"/>
      <c r="I85" s="55"/>
      <c r="J85" s="56"/>
      <c r="K85" s="56"/>
      <c r="L85" s="56"/>
      <c r="M85" s="56"/>
    </row>
    <row r="86" ht="15.75" customHeight="1">
      <c r="A86" s="20"/>
      <c r="B86" s="29">
        <v>83.0</v>
      </c>
      <c r="C86" s="30" t="s">
        <v>1821</v>
      </c>
      <c r="D86" s="30" t="s">
        <v>1822</v>
      </c>
      <c r="E86" s="31">
        <v>2.896882703E9</v>
      </c>
      <c r="F86" s="32" t="s">
        <v>1823</v>
      </c>
      <c r="G86" s="54"/>
      <c r="H86" s="26"/>
      <c r="I86" s="55"/>
      <c r="J86" s="56"/>
      <c r="K86" s="56"/>
      <c r="L86" s="56"/>
      <c r="M86" s="56"/>
    </row>
    <row r="87" ht="15.75" customHeight="1">
      <c r="A87" s="20"/>
      <c r="B87" s="29">
        <v>84.0</v>
      </c>
      <c r="C87" s="30" t="s">
        <v>1824</v>
      </c>
      <c r="D87" s="30" t="s">
        <v>1825</v>
      </c>
      <c r="E87" s="31">
        <v>6.476371949E9</v>
      </c>
      <c r="F87" s="32" t="s">
        <v>1826</v>
      </c>
      <c r="G87" s="54"/>
      <c r="H87" s="26"/>
      <c r="I87" s="55"/>
      <c r="J87" s="56"/>
      <c r="K87" s="56"/>
      <c r="L87" s="56"/>
      <c r="M87" s="56"/>
    </row>
    <row r="88" ht="15.75" customHeight="1">
      <c r="A88" s="20"/>
      <c r="B88" s="29">
        <v>85.0</v>
      </c>
      <c r="C88" s="30" t="s">
        <v>1827</v>
      </c>
      <c r="D88" s="30" t="s">
        <v>1828</v>
      </c>
      <c r="E88" s="31">
        <v>6.138270085E9</v>
      </c>
      <c r="F88" s="32" t="s">
        <v>1829</v>
      </c>
      <c r="G88" s="54"/>
      <c r="H88" s="26"/>
      <c r="I88" s="55"/>
      <c r="J88" s="56"/>
      <c r="K88" s="56"/>
      <c r="L88" s="56"/>
      <c r="M88" s="56"/>
    </row>
    <row r="89" ht="15.75" customHeight="1">
      <c r="A89" s="20"/>
      <c r="B89" s="29">
        <v>86.0</v>
      </c>
      <c r="C89" s="30" t="s">
        <v>1830</v>
      </c>
      <c r="D89" s="30" t="s">
        <v>1831</v>
      </c>
      <c r="E89" s="31">
        <v>6.47273346E9</v>
      </c>
      <c r="F89" s="57" t="s">
        <v>1832</v>
      </c>
      <c r="G89" s="54"/>
      <c r="H89" s="26"/>
      <c r="I89" s="58"/>
      <c r="J89" s="59"/>
      <c r="K89" s="59"/>
      <c r="L89" s="59"/>
      <c r="M89" s="59"/>
    </row>
    <row r="90" ht="15.75" customHeight="1">
      <c r="A90" s="20"/>
      <c r="B90" s="29">
        <v>87.0</v>
      </c>
      <c r="C90" s="30" t="s">
        <v>1833</v>
      </c>
      <c r="D90" s="30" t="s">
        <v>1834</v>
      </c>
      <c r="E90" s="31">
        <v>9.058080101E9</v>
      </c>
      <c r="F90" s="32" t="s">
        <v>1835</v>
      </c>
      <c r="G90" s="54"/>
      <c r="H90" s="26"/>
      <c r="I90" s="58"/>
      <c r="J90" s="59"/>
      <c r="K90" s="59"/>
      <c r="L90" s="59"/>
      <c r="M90" s="59"/>
    </row>
    <row r="91" ht="15.75" customHeight="1">
      <c r="A91" s="20"/>
      <c r="B91" s="29">
        <v>88.0</v>
      </c>
      <c r="C91" s="30" t="s">
        <v>1836</v>
      </c>
      <c r="D91" s="30" t="s">
        <v>1837</v>
      </c>
      <c r="E91" s="31">
        <v>6.477810335E9</v>
      </c>
      <c r="F91" s="32" t="s">
        <v>1838</v>
      </c>
      <c r="G91" s="54"/>
      <c r="H91" s="26"/>
      <c r="I91" s="58"/>
      <c r="J91" s="59"/>
      <c r="K91" s="59"/>
      <c r="L91" s="59"/>
      <c r="M91" s="59"/>
    </row>
    <row r="92" ht="15.75" customHeight="1">
      <c r="A92" s="20"/>
      <c r="B92" s="29">
        <v>89.0</v>
      </c>
      <c r="C92" s="30" t="s">
        <v>1839</v>
      </c>
      <c r="D92" s="30" t="s">
        <v>1840</v>
      </c>
      <c r="E92" s="31">
        <v>6.479968654E9</v>
      </c>
      <c r="F92" s="32" t="s">
        <v>1841</v>
      </c>
      <c r="G92" s="54"/>
      <c r="H92" s="26"/>
      <c r="I92" s="58"/>
      <c r="J92" s="59"/>
      <c r="K92" s="59"/>
      <c r="L92" s="59"/>
      <c r="M92" s="59"/>
    </row>
    <row r="93" ht="15.75" customHeight="1">
      <c r="A93" s="20"/>
      <c r="B93" s="29">
        <v>90.0</v>
      </c>
      <c r="C93" s="30" t="s">
        <v>1842</v>
      </c>
      <c r="D93" s="30" t="s">
        <v>1843</v>
      </c>
      <c r="E93" s="31">
        <v>4.169388533E9</v>
      </c>
      <c r="F93" s="32" t="s">
        <v>1844</v>
      </c>
      <c r="G93" s="54"/>
      <c r="H93" s="26"/>
      <c r="I93" s="58"/>
      <c r="J93" s="59"/>
      <c r="K93" s="59"/>
      <c r="L93" s="59"/>
      <c r="M93" s="59"/>
    </row>
    <row r="94" ht="15.75" customHeight="1">
      <c r="A94" s="20"/>
      <c r="B94" s="29">
        <v>91.0</v>
      </c>
      <c r="C94" s="30" t="s">
        <v>1845</v>
      </c>
      <c r="D94" s="30" t="s">
        <v>1846</v>
      </c>
      <c r="E94" s="31">
        <v>6.476768972E9</v>
      </c>
      <c r="F94" s="32" t="s">
        <v>1847</v>
      </c>
      <c r="G94" s="54"/>
      <c r="H94" s="26"/>
      <c r="I94" s="58"/>
      <c r="J94" s="59"/>
      <c r="K94" s="59"/>
      <c r="L94" s="59"/>
      <c r="M94" s="59"/>
    </row>
    <row r="95" ht="15.75" customHeight="1">
      <c r="A95" s="20"/>
      <c r="B95" s="29">
        <v>92.0</v>
      </c>
      <c r="C95" s="30" t="s">
        <v>1848</v>
      </c>
      <c r="D95" s="30" t="s">
        <v>1849</v>
      </c>
      <c r="E95" s="31">
        <v>6.474611034E9</v>
      </c>
      <c r="F95" s="32" t="s">
        <v>1850</v>
      </c>
      <c r="G95" s="54"/>
      <c r="H95" s="26"/>
      <c r="I95" s="58"/>
      <c r="J95" s="59"/>
      <c r="K95" s="59"/>
      <c r="L95" s="59"/>
      <c r="M95" s="59"/>
    </row>
    <row r="96" ht="15.75" customHeight="1">
      <c r="A96" s="20"/>
      <c r="B96" s="29">
        <v>93.0</v>
      </c>
      <c r="C96" s="30" t="s">
        <v>1851</v>
      </c>
      <c r="D96" s="30" t="s">
        <v>1852</v>
      </c>
      <c r="E96" s="31">
        <v>4.164734762E9</v>
      </c>
      <c r="F96" s="32" t="s">
        <v>1853</v>
      </c>
      <c r="G96" s="54"/>
      <c r="H96" s="26"/>
      <c r="I96" s="58"/>
      <c r="J96" s="59"/>
      <c r="K96" s="59"/>
      <c r="L96" s="59"/>
      <c r="M96" s="59"/>
    </row>
    <row r="97" ht="15.75" customHeight="1">
      <c r="A97" s="20"/>
      <c r="B97" s="29">
        <v>94.0</v>
      </c>
      <c r="C97" s="30" t="s">
        <v>1854</v>
      </c>
      <c r="D97" s="30"/>
      <c r="E97" s="31">
        <v>7.053306184E9</v>
      </c>
      <c r="F97" s="32" t="s">
        <v>1855</v>
      </c>
      <c r="G97" s="54"/>
      <c r="H97" s="26"/>
      <c r="I97" s="58"/>
      <c r="J97" s="59"/>
      <c r="K97" s="59"/>
      <c r="L97" s="59"/>
      <c r="M97" s="59"/>
    </row>
    <row r="98" ht="15.75" customHeight="1">
      <c r="A98" s="20"/>
      <c r="B98" s="29">
        <v>95.0</v>
      </c>
      <c r="C98" s="30" t="s">
        <v>1856</v>
      </c>
      <c r="D98" s="30" t="s">
        <v>1857</v>
      </c>
      <c r="E98" s="31">
        <v>3.43370046E9</v>
      </c>
      <c r="F98" s="32" t="s">
        <v>1858</v>
      </c>
      <c r="G98" s="54"/>
      <c r="H98" s="26"/>
      <c r="I98" s="58"/>
      <c r="J98" s="59"/>
      <c r="K98" s="59"/>
      <c r="L98" s="59"/>
      <c r="M98" s="59"/>
    </row>
    <row r="99" ht="15.75" customHeight="1">
      <c r="A99" s="20"/>
      <c r="B99" s="29">
        <v>96.0</v>
      </c>
      <c r="C99" s="30" t="s">
        <v>1428</v>
      </c>
      <c r="D99" s="30" t="s">
        <v>1859</v>
      </c>
      <c r="E99" s="31">
        <v>5.062717105E9</v>
      </c>
      <c r="F99" s="32" t="s">
        <v>1860</v>
      </c>
      <c r="G99" s="54"/>
      <c r="H99" s="60"/>
      <c r="I99" s="58"/>
      <c r="J99" s="59"/>
      <c r="K99" s="59"/>
      <c r="L99" s="59"/>
      <c r="M99" s="59"/>
    </row>
    <row r="100" ht="15.75" customHeight="1">
      <c r="A100" s="20"/>
      <c r="B100" s="29">
        <v>97.0</v>
      </c>
      <c r="C100" s="30" t="s">
        <v>1861</v>
      </c>
      <c r="D100" s="30" t="s">
        <v>1862</v>
      </c>
      <c r="E100" s="31">
        <v>5.146601003E9</v>
      </c>
      <c r="F100" s="32" t="s">
        <v>1863</v>
      </c>
      <c r="G100" s="54"/>
      <c r="H100" s="26"/>
      <c r="I100" s="58"/>
      <c r="J100" s="59"/>
      <c r="K100" s="59"/>
      <c r="L100" s="59"/>
      <c r="M100" s="59"/>
    </row>
    <row r="101" ht="15.75" customHeight="1">
      <c r="A101" s="20"/>
      <c r="B101" s="29">
        <v>98.0</v>
      </c>
      <c r="C101" s="30" t="s">
        <v>1864</v>
      </c>
      <c r="D101" s="30" t="s">
        <v>1865</v>
      </c>
      <c r="E101" s="31">
        <v>4.388860029E9</v>
      </c>
      <c r="F101" s="32" t="s">
        <v>1866</v>
      </c>
      <c r="G101" s="54"/>
      <c r="H101" s="26"/>
      <c r="I101" s="58"/>
      <c r="J101" s="59"/>
      <c r="K101" s="59"/>
      <c r="L101" s="59"/>
      <c r="M101" s="59"/>
    </row>
    <row r="102" ht="15.75" customHeight="1">
      <c r="A102" s="61"/>
      <c r="B102" s="62">
        <v>99.0</v>
      </c>
      <c r="C102" s="63" t="s">
        <v>1867</v>
      </c>
      <c r="D102" s="63" t="s">
        <v>1868</v>
      </c>
      <c r="E102" s="64">
        <v>3.06737824E9</v>
      </c>
      <c r="F102" s="65" t="s">
        <v>1869</v>
      </c>
      <c r="G102" s="63"/>
      <c r="H102" s="26"/>
      <c r="I102" s="66"/>
      <c r="J102" s="67"/>
      <c r="K102" s="67"/>
      <c r="L102" s="67"/>
      <c r="M102" s="67"/>
    </row>
    <row r="103" ht="15.75" customHeight="1">
      <c r="A103" s="61"/>
      <c r="B103" s="62">
        <v>100.0</v>
      </c>
      <c r="C103" s="63" t="s">
        <v>1870</v>
      </c>
      <c r="D103" s="63" t="s">
        <v>1871</v>
      </c>
      <c r="E103" s="64">
        <v>9.023183436E9</v>
      </c>
      <c r="F103" s="65" t="s">
        <v>1872</v>
      </c>
      <c r="G103" s="63"/>
      <c r="H103" s="26"/>
      <c r="I103" s="66"/>
      <c r="J103" s="67"/>
      <c r="K103" s="67"/>
      <c r="L103" s="67"/>
      <c r="M103" s="67"/>
    </row>
    <row r="104" ht="15.75" customHeight="1">
      <c r="A104" s="61"/>
      <c r="B104" s="62">
        <v>101.0</v>
      </c>
      <c r="C104" s="63" t="s">
        <v>1873</v>
      </c>
      <c r="D104" s="63" t="s">
        <v>1781</v>
      </c>
      <c r="E104" s="64">
        <v>5.196308348E9</v>
      </c>
      <c r="F104" s="65" t="s">
        <v>1874</v>
      </c>
      <c r="G104" s="63"/>
      <c r="H104" s="26"/>
      <c r="I104" s="66"/>
      <c r="J104" s="67"/>
      <c r="K104" s="67"/>
      <c r="L104" s="67"/>
      <c r="M104" s="67"/>
    </row>
    <row r="105" ht="15.75" customHeight="1">
      <c r="A105" s="61"/>
      <c r="B105" s="62">
        <v>102.0</v>
      </c>
      <c r="C105" s="63" t="s">
        <v>1875</v>
      </c>
      <c r="D105" s="63" t="s">
        <v>1876</v>
      </c>
      <c r="E105" s="64">
        <v>9.023713865E9</v>
      </c>
      <c r="F105" s="65" t="s">
        <v>1877</v>
      </c>
      <c r="G105" s="63"/>
      <c r="H105" s="26"/>
      <c r="I105" s="66"/>
      <c r="J105" s="67"/>
      <c r="K105" s="67"/>
      <c r="L105" s="67"/>
      <c r="M105" s="67"/>
    </row>
    <row r="106" ht="15.75" customHeight="1">
      <c r="A106" s="61"/>
      <c r="B106" s="62">
        <v>103.0</v>
      </c>
      <c r="C106" s="63" t="s">
        <v>1878</v>
      </c>
      <c r="D106" s="63" t="s">
        <v>1482</v>
      </c>
      <c r="E106" s="64">
        <v>9.025695198E9</v>
      </c>
      <c r="F106" s="65" t="s">
        <v>1879</v>
      </c>
      <c r="G106" s="63"/>
      <c r="H106" s="26"/>
      <c r="I106" s="66"/>
      <c r="J106" s="67"/>
      <c r="K106" s="67"/>
      <c r="L106" s="67"/>
      <c r="M106" s="67"/>
    </row>
    <row r="107" ht="15.75" customHeight="1">
      <c r="A107" s="20"/>
      <c r="B107" s="29">
        <v>104.0</v>
      </c>
      <c r="C107" s="68" t="s">
        <v>1880</v>
      </c>
      <c r="D107" s="68" t="s">
        <v>1881</v>
      </c>
      <c r="E107" s="69">
        <v>7.807762206E9</v>
      </c>
      <c r="F107" s="70" t="s">
        <v>1882</v>
      </c>
      <c r="G107" s="63"/>
      <c r="H107" s="26"/>
      <c r="I107" s="66"/>
      <c r="J107" s="67"/>
      <c r="K107" s="67"/>
      <c r="L107" s="67"/>
      <c r="M107" s="67"/>
    </row>
    <row r="108" ht="15.75" customHeight="1">
      <c r="A108" s="20"/>
      <c r="B108" s="29">
        <v>105.0</v>
      </c>
      <c r="C108" s="68" t="s">
        <v>1883</v>
      </c>
      <c r="D108" s="68" t="s">
        <v>1884</v>
      </c>
      <c r="E108" s="69">
        <v>9.030001358E9</v>
      </c>
      <c r="F108" s="70" t="s">
        <v>1885</v>
      </c>
      <c r="G108" s="63"/>
      <c r="H108" s="26"/>
      <c r="I108" s="66"/>
      <c r="J108" s="67"/>
      <c r="K108" s="67"/>
      <c r="L108" s="67"/>
      <c r="M108" s="67"/>
    </row>
    <row r="109" ht="15.75" customHeight="1">
      <c r="A109" s="61"/>
      <c r="B109" s="62">
        <v>106.0</v>
      </c>
      <c r="C109" s="68" t="s">
        <v>1886</v>
      </c>
      <c r="D109" s="68" t="s">
        <v>1887</v>
      </c>
      <c r="E109" s="69">
        <v>3.065364111E9</v>
      </c>
      <c r="F109" s="70" t="s">
        <v>1888</v>
      </c>
      <c r="G109" s="63"/>
      <c r="H109" s="26"/>
      <c r="I109" s="66"/>
      <c r="J109" s="67"/>
      <c r="K109" s="67"/>
      <c r="L109" s="67"/>
      <c r="M109" s="67"/>
    </row>
    <row r="110" ht="15.75" customHeight="1">
      <c r="A110" s="61"/>
      <c r="B110" s="62">
        <v>107.0</v>
      </c>
      <c r="C110" s="68" t="s">
        <v>1889</v>
      </c>
      <c r="D110" s="68" t="s">
        <v>1890</v>
      </c>
      <c r="E110" s="69">
        <v>9.028702941E9</v>
      </c>
      <c r="F110" s="70" t="s">
        <v>1891</v>
      </c>
      <c r="G110" s="63"/>
      <c r="H110" s="26"/>
      <c r="I110" s="66"/>
      <c r="J110" s="67"/>
      <c r="K110" s="67"/>
      <c r="L110" s="67"/>
      <c r="M110" s="67"/>
    </row>
    <row r="111" ht="15.75" customHeight="1">
      <c r="A111" s="61"/>
      <c r="B111" s="62">
        <v>108.0</v>
      </c>
      <c r="C111" s="68" t="s">
        <v>1892</v>
      </c>
      <c r="D111" s="68" t="s">
        <v>1893</v>
      </c>
      <c r="E111" s="69">
        <v>5.819904637E9</v>
      </c>
      <c r="F111" s="70" t="s">
        <v>1894</v>
      </c>
      <c r="G111" s="63"/>
      <c r="H111" s="26"/>
      <c r="I111" s="66"/>
      <c r="J111" s="67"/>
      <c r="K111" s="67"/>
      <c r="L111" s="67"/>
      <c r="M111" s="67"/>
    </row>
    <row r="112" ht="15.75" customHeight="1">
      <c r="A112" s="61"/>
      <c r="B112" s="62">
        <v>109.0</v>
      </c>
      <c r="C112" s="68" t="s">
        <v>345</v>
      </c>
      <c r="D112" s="68" t="s">
        <v>1895</v>
      </c>
      <c r="E112" s="69">
        <v>2.348053402184E12</v>
      </c>
      <c r="F112" s="70" t="s">
        <v>1896</v>
      </c>
      <c r="G112" s="63"/>
      <c r="H112" s="26"/>
      <c r="I112" s="66"/>
      <c r="J112" s="67"/>
      <c r="K112" s="67"/>
      <c r="L112" s="67"/>
      <c r="M112" s="67"/>
    </row>
    <row r="113" ht="15.75" customHeight="1">
      <c r="A113" s="61"/>
      <c r="B113" s="62">
        <v>110.0</v>
      </c>
      <c r="C113" s="68" t="s">
        <v>1897</v>
      </c>
      <c r="D113" s="68" t="s">
        <v>1898</v>
      </c>
      <c r="E113" s="69">
        <v>7.78678058E9</v>
      </c>
      <c r="F113" s="70" t="s">
        <v>1899</v>
      </c>
      <c r="G113" s="63"/>
      <c r="H113" s="26"/>
      <c r="I113" s="66"/>
      <c r="J113" s="67"/>
      <c r="K113" s="67"/>
      <c r="L113" s="67"/>
      <c r="M113" s="67"/>
    </row>
    <row r="114" ht="15.75" customHeight="1">
      <c r="A114" s="20"/>
      <c r="B114" s="29">
        <v>111.0</v>
      </c>
      <c r="C114" s="68" t="s">
        <v>1900</v>
      </c>
      <c r="D114" s="68" t="s">
        <v>1901</v>
      </c>
      <c r="E114" s="69">
        <v>8.19475546E9</v>
      </c>
      <c r="F114" s="70" t="s">
        <v>1902</v>
      </c>
      <c r="G114" s="63"/>
      <c r="H114" s="26"/>
      <c r="I114" s="66"/>
      <c r="J114" s="67"/>
      <c r="K114" s="67"/>
      <c r="L114" s="67"/>
      <c r="M114" s="67"/>
    </row>
    <row r="115" ht="15.75" customHeight="1">
      <c r="A115" s="20"/>
      <c r="B115" s="29">
        <v>112.0</v>
      </c>
      <c r="C115" s="68" t="s">
        <v>1903</v>
      </c>
      <c r="D115" s="68" t="s">
        <v>1904</v>
      </c>
      <c r="E115" s="69">
        <v>2.047910105E9</v>
      </c>
      <c r="F115" s="70" t="s">
        <v>1905</v>
      </c>
      <c r="G115" s="63"/>
      <c r="H115" s="26"/>
      <c r="I115" s="66"/>
      <c r="J115" s="67"/>
      <c r="K115" s="67"/>
      <c r="L115" s="67"/>
      <c r="M115" s="67"/>
    </row>
    <row r="116" ht="15.75" customHeight="1">
      <c r="A116" s="61"/>
      <c r="B116" s="62">
        <v>113.0</v>
      </c>
      <c r="C116" s="68" t="s">
        <v>1906</v>
      </c>
      <c r="D116" s="68" t="s">
        <v>1907</v>
      </c>
      <c r="E116" s="69">
        <v>5.147485844E9</v>
      </c>
      <c r="F116" s="70" t="s">
        <v>1908</v>
      </c>
      <c r="G116" s="63"/>
      <c r="H116" s="26"/>
      <c r="I116" s="66"/>
      <c r="J116" s="67"/>
      <c r="K116" s="67"/>
      <c r="L116" s="67"/>
      <c r="M116" s="67"/>
    </row>
    <row r="117" ht="15.75" customHeight="1">
      <c r="A117" s="61"/>
      <c r="B117" s="62">
        <v>114.0</v>
      </c>
      <c r="C117" s="68" t="s">
        <v>1222</v>
      </c>
      <c r="D117" s="68" t="s">
        <v>1909</v>
      </c>
      <c r="E117" s="69">
        <v>9.052072043E9</v>
      </c>
      <c r="F117" s="70" t="s">
        <v>1910</v>
      </c>
      <c r="G117" s="63"/>
      <c r="H117" s="26"/>
      <c r="I117" s="66"/>
      <c r="J117" s="67"/>
      <c r="K117" s="67"/>
      <c r="L117" s="67"/>
      <c r="M117" s="67"/>
    </row>
    <row r="118" ht="15.75" customHeight="1">
      <c r="A118" s="61"/>
      <c r="B118" s="62">
        <v>115.0</v>
      </c>
      <c r="C118" s="68" t="s">
        <v>449</v>
      </c>
      <c r="D118" s="68" t="s">
        <v>1911</v>
      </c>
      <c r="E118" s="69">
        <v>7.059777366E9</v>
      </c>
      <c r="F118" s="70" t="s">
        <v>1912</v>
      </c>
      <c r="G118" s="63"/>
      <c r="H118" s="26"/>
      <c r="I118" s="66"/>
      <c r="J118" s="67"/>
      <c r="K118" s="67"/>
      <c r="L118" s="67"/>
      <c r="M118" s="67"/>
    </row>
    <row r="119" ht="15.75" customHeight="1">
      <c r="A119" s="61"/>
      <c r="B119" s="62">
        <v>116.0</v>
      </c>
      <c r="C119" s="68" t="s">
        <v>1913</v>
      </c>
      <c r="D119" s="68" t="s">
        <v>1914</v>
      </c>
      <c r="E119" s="69">
        <v>5.873376137E9</v>
      </c>
      <c r="F119" s="70" t="s">
        <v>1915</v>
      </c>
      <c r="G119" s="63"/>
      <c r="H119" s="26"/>
      <c r="I119" s="66"/>
      <c r="J119" s="67"/>
      <c r="K119" s="67"/>
      <c r="L119" s="67"/>
      <c r="M119" s="67"/>
    </row>
    <row r="120" ht="15.75" customHeight="1">
      <c r="A120" s="61"/>
      <c r="B120" s="62">
        <v>117.0</v>
      </c>
      <c r="C120" s="68" t="s">
        <v>1916</v>
      </c>
      <c r="D120" s="68" t="s">
        <v>1917</v>
      </c>
      <c r="E120" s="69">
        <v>2.503441937E9</v>
      </c>
      <c r="F120" s="70" t="s">
        <v>1918</v>
      </c>
      <c r="G120" s="63"/>
      <c r="H120" s="26"/>
      <c r="I120" s="66"/>
      <c r="J120" s="67"/>
      <c r="K120" s="67"/>
      <c r="L120" s="67"/>
      <c r="M120" s="67"/>
    </row>
    <row r="121" ht="15.75" customHeight="1">
      <c r="A121" s="20"/>
      <c r="B121" s="29">
        <v>118.0</v>
      </c>
      <c r="C121" s="68" t="s">
        <v>1919</v>
      </c>
      <c r="D121" s="68" t="s">
        <v>1920</v>
      </c>
      <c r="E121" s="69">
        <v>5.875823599E9</v>
      </c>
      <c r="F121" s="70" t="s">
        <v>1921</v>
      </c>
      <c r="G121" s="63"/>
      <c r="H121" s="26"/>
      <c r="I121" s="66"/>
      <c r="J121" s="67"/>
      <c r="K121" s="67"/>
      <c r="L121" s="67"/>
      <c r="M121" s="67"/>
    </row>
    <row r="122" ht="15.75" customHeight="1">
      <c r="A122" s="20"/>
      <c r="B122" s="29">
        <v>119.0</v>
      </c>
      <c r="C122" s="68" t="s">
        <v>1922</v>
      </c>
      <c r="D122" s="68" t="s">
        <v>1923</v>
      </c>
      <c r="E122" s="69">
        <v>7.828828861E9</v>
      </c>
      <c r="F122" s="70" t="s">
        <v>1924</v>
      </c>
      <c r="G122" s="63"/>
      <c r="H122" s="26"/>
      <c r="I122" s="66"/>
      <c r="J122" s="67"/>
      <c r="K122" s="67"/>
      <c r="L122" s="67"/>
      <c r="M122" s="67"/>
    </row>
    <row r="123" ht="15.75" customHeight="1">
      <c r="A123" s="61"/>
      <c r="B123" s="62">
        <v>120.0</v>
      </c>
      <c r="C123" s="8" t="s">
        <v>1925</v>
      </c>
      <c r="D123" s="68" t="s">
        <v>1926</v>
      </c>
      <c r="E123" s="69">
        <v>2.503197997E9</v>
      </c>
      <c r="F123" s="70" t="s">
        <v>1927</v>
      </c>
      <c r="G123" s="63"/>
      <c r="H123" s="26"/>
      <c r="I123" s="66"/>
      <c r="J123" s="67"/>
      <c r="K123" s="67"/>
      <c r="L123" s="67"/>
      <c r="M123" s="67"/>
    </row>
    <row r="124" ht="15.75" customHeight="1">
      <c r="A124" s="61"/>
      <c r="B124" s="62">
        <v>121.0</v>
      </c>
      <c r="C124" s="68" t="s">
        <v>1928</v>
      </c>
      <c r="D124" s="68" t="s">
        <v>1929</v>
      </c>
      <c r="E124" s="69">
        <v>5.199694553E9</v>
      </c>
      <c r="F124" s="70" t="s">
        <v>1930</v>
      </c>
      <c r="G124" s="63"/>
      <c r="H124" s="26"/>
      <c r="I124" s="66"/>
      <c r="J124" s="67"/>
      <c r="K124" s="67"/>
      <c r="L124" s="67"/>
      <c r="M124" s="67"/>
    </row>
    <row r="125" ht="15.75" customHeight="1">
      <c r="A125" s="61"/>
      <c r="B125" s="62">
        <v>122.0</v>
      </c>
      <c r="C125" s="68" t="s">
        <v>1931</v>
      </c>
      <c r="D125" s="68" t="s">
        <v>1932</v>
      </c>
      <c r="E125" s="69">
        <v>3.06240078E9</v>
      </c>
      <c r="F125" s="70" t="s">
        <v>1933</v>
      </c>
      <c r="G125" s="63"/>
      <c r="H125" s="26"/>
      <c r="I125" s="66"/>
      <c r="J125" s="67"/>
      <c r="K125" s="67"/>
      <c r="L125" s="67"/>
      <c r="M125" s="67"/>
    </row>
    <row r="126" ht="15.75" customHeight="1">
      <c r="A126" s="61"/>
      <c r="B126" s="62">
        <v>123.0</v>
      </c>
      <c r="C126" s="68" t="s">
        <v>1934</v>
      </c>
      <c r="D126" s="68" t="s">
        <v>1935</v>
      </c>
      <c r="E126" s="69">
        <v>7.806073731E9</v>
      </c>
      <c r="F126" s="70" t="s">
        <v>1936</v>
      </c>
      <c r="G126" s="63"/>
      <c r="H126" s="26"/>
      <c r="I126" s="66"/>
      <c r="J126" s="67"/>
      <c r="K126" s="67"/>
      <c r="L126" s="67"/>
      <c r="M126" s="67"/>
    </row>
    <row r="127" ht="15.75" customHeight="1">
      <c r="A127" s="61"/>
      <c r="B127" s="62">
        <v>124.0</v>
      </c>
      <c r="C127" s="68" t="s">
        <v>74</v>
      </c>
      <c r="D127" s="68" t="s">
        <v>1937</v>
      </c>
      <c r="E127" s="69">
        <v>4.169490226E9</v>
      </c>
      <c r="F127" s="70" t="s">
        <v>1938</v>
      </c>
      <c r="G127" s="63"/>
      <c r="H127" s="26"/>
      <c r="I127" s="66"/>
      <c r="J127" s="67"/>
      <c r="K127" s="67"/>
      <c r="L127" s="67"/>
      <c r="M127" s="67"/>
    </row>
    <row r="128" ht="15.75" customHeight="1">
      <c r="A128" s="20"/>
      <c r="B128" s="29">
        <v>125.0</v>
      </c>
      <c r="C128" s="68" t="s">
        <v>1939</v>
      </c>
      <c r="D128" s="68" t="s">
        <v>1940</v>
      </c>
      <c r="E128" s="69">
        <v>9.028156548E9</v>
      </c>
      <c r="F128" s="70" t="s">
        <v>1941</v>
      </c>
      <c r="G128" s="63"/>
      <c r="H128" s="26"/>
      <c r="I128" s="66"/>
      <c r="J128" s="67"/>
      <c r="K128" s="67"/>
      <c r="L128" s="67"/>
      <c r="M128" s="67"/>
    </row>
    <row r="129" ht="15.75" customHeight="1">
      <c r="A129" s="20"/>
      <c r="B129" s="29">
        <v>126.0</v>
      </c>
      <c r="C129" s="68" t="s">
        <v>1942</v>
      </c>
      <c r="D129" s="68" t="s">
        <v>1943</v>
      </c>
      <c r="E129" s="69">
        <v>6.133901944E9</v>
      </c>
      <c r="F129" s="70" t="s">
        <v>1944</v>
      </c>
      <c r="G129" s="63"/>
      <c r="H129" s="26"/>
      <c r="I129" s="66"/>
      <c r="J129" s="67"/>
      <c r="K129" s="67"/>
      <c r="L129" s="67"/>
      <c r="M129" s="67"/>
    </row>
    <row r="130" ht="15.75" customHeight="1">
      <c r="A130" s="61"/>
      <c r="B130" s="62">
        <v>127.0</v>
      </c>
      <c r="C130" s="68" t="s">
        <v>1945</v>
      </c>
      <c r="D130" s="68" t="s">
        <v>1946</v>
      </c>
      <c r="E130" s="69">
        <v>3.065397105E9</v>
      </c>
      <c r="F130" s="70" t="s">
        <v>1947</v>
      </c>
      <c r="G130" s="63"/>
      <c r="H130" s="26"/>
      <c r="I130" s="66"/>
      <c r="J130" s="67"/>
      <c r="K130" s="67"/>
      <c r="L130" s="67"/>
      <c r="M130" s="67"/>
    </row>
    <row r="131" ht="15.75" customHeight="1">
      <c r="A131" s="61"/>
      <c r="B131" s="62">
        <v>128.0</v>
      </c>
      <c r="C131" s="68" t="s">
        <v>1867</v>
      </c>
      <c r="D131" s="68" t="s">
        <v>1948</v>
      </c>
      <c r="E131" s="69">
        <v>4.035026129E9</v>
      </c>
      <c r="F131" s="70" t="s">
        <v>1949</v>
      </c>
      <c r="G131" s="63"/>
      <c r="H131" s="26"/>
      <c r="I131" s="66"/>
      <c r="J131" s="67"/>
      <c r="K131" s="67"/>
      <c r="L131" s="67"/>
      <c r="M131" s="67"/>
    </row>
    <row r="132" ht="15.75" customHeight="1">
      <c r="A132" s="61"/>
      <c r="B132" s="62">
        <v>129.0</v>
      </c>
      <c r="C132" s="68" t="s">
        <v>1950</v>
      </c>
      <c r="D132" s="68" t="s">
        <v>1951</v>
      </c>
      <c r="E132" s="69">
        <v>7.803943556E9</v>
      </c>
      <c r="F132" s="70" t="s">
        <v>1952</v>
      </c>
      <c r="G132" s="63"/>
      <c r="H132" s="26"/>
      <c r="I132" s="66"/>
      <c r="J132" s="67"/>
      <c r="K132" s="67"/>
      <c r="L132" s="67"/>
      <c r="M132" s="67"/>
    </row>
    <row r="133" ht="15.75" customHeight="1">
      <c r="A133" s="71">
        <v>45726.0</v>
      </c>
      <c r="B133" s="62">
        <v>130.0</v>
      </c>
      <c r="C133" s="68" t="s">
        <v>1953</v>
      </c>
      <c r="D133" s="68" t="s">
        <v>1954</v>
      </c>
      <c r="E133" s="69">
        <v>2.262245205E9</v>
      </c>
      <c r="F133" s="70" t="s">
        <v>1955</v>
      </c>
      <c r="G133" s="63"/>
      <c r="H133" s="26"/>
      <c r="I133" s="66"/>
      <c r="J133" s="67"/>
      <c r="K133" s="67"/>
      <c r="L133" s="67"/>
      <c r="M133" s="67"/>
    </row>
    <row r="134" ht="15.75" customHeight="1">
      <c r="A134" s="71">
        <v>45727.0</v>
      </c>
      <c r="B134" s="72">
        <v>131.0</v>
      </c>
      <c r="C134" s="68" t="s">
        <v>1956</v>
      </c>
      <c r="D134" s="68" t="s">
        <v>1957</v>
      </c>
      <c r="E134" s="69">
        <v>8.67678505E9</v>
      </c>
      <c r="F134" s="70" t="s">
        <v>1958</v>
      </c>
      <c r="G134" s="63"/>
      <c r="H134" s="26"/>
      <c r="I134" s="66"/>
      <c r="J134" s="67"/>
      <c r="K134" s="67"/>
      <c r="L134" s="67"/>
      <c r="M134" s="67"/>
    </row>
    <row r="135" ht="15.75" customHeight="1">
      <c r="A135" s="71">
        <v>45728.0</v>
      </c>
      <c r="B135" s="29">
        <v>132.0</v>
      </c>
      <c r="C135" s="68" t="s">
        <v>1959</v>
      </c>
      <c r="D135" s="68" t="s">
        <v>1960</v>
      </c>
      <c r="E135" s="69">
        <v>5.145972058E9</v>
      </c>
      <c r="F135" s="70" t="s">
        <v>1961</v>
      </c>
      <c r="G135" s="63"/>
      <c r="H135" s="26"/>
      <c r="I135" s="66"/>
      <c r="J135" s="67"/>
      <c r="K135" s="67"/>
      <c r="L135" s="67"/>
      <c r="M135" s="67"/>
    </row>
    <row r="136" ht="15.75" customHeight="1">
      <c r="A136" s="71">
        <v>45729.0</v>
      </c>
      <c r="B136" s="62">
        <v>133.0</v>
      </c>
      <c r="C136" s="68" t="s">
        <v>1962</v>
      </c>
      <c r="D136" s="68" t="s">
        <v>1963</v>
      </c>
      <c r="E136" s="69">
        <v>4.187228081E9</v>
      </c>
      <c r="F136" s="70" t="s">
        <v>1964</v>
      </c>
      <c r="G136" s="63"/>
      <c r="H136" s="26"/>
      <c r="I136" s="66"/>
      <c r="J136" s="67"/>
      <c r="K136" s="67"/>
      <c r="L136" s="67"/>
      <c r="M136" s="67"/>
    </row>
    <row r="137" ht="15.75" customHeight="1">
      <c r="A137" s="71">
        <v>45730.0</v>
      </c>
      <c r="B137" s="62">
        <v>134.0</v>
      </c>
      <c r="C137" s="68" t="s">
        <v>1965</v>
      </c>
      <c r="D137" s="68" t="s">
        <v>1966</v>
      </c>
      <c r="E137" s="69">
        <v>9.028027455E9</v>
      </c>
      <c r="F137" s="70" t="s">
        <v>1967</v>
      </c>
      <c r="G137" s="63"/>
      <c r="H137" s="26"/>
      <c r="I137" s="66"/>
      <c r="J137" s="67"/>
      <c r="K137" s="67"/>
      <c r="L137" s="67"/>
      <c r="M137" s="67"/>
    </row>
    <row r="138" ht="15.75" customHeight="1">
      <c r="A138" s="71">
        <v>45730.0</v>
      </c>
      <c r="B138" s="62">
        <v>135.0</v>
      </c>
      <c r="C138" s="68" t="s">
        <v>1968</v>
      </c>
      <c r="D138" s="68" t="s">
        <v>1969</v>
      </c>
      <c r="E138" s="69">
        <v>5.197663677E9</v>
      </c>
      <c r="F138" s="70" t="s">
        <v>1970</v>
      </c>
      <c r="G138" s="63"/>
      <c r="H138" s="26"/>
      <c r="I138" s="66"/>
      <c r="J138" s="67"/>
      <c r="K138" s="67"/>
      <c r="L138" s="67"/>
      <c r="M138" s="67"/>
    </row>
    <row r="139" ht="15.75" customHeight="1">
      <c r="A139" s="71">
        <v>45730.0</v>
      </c>
      <c r="B139" s="62">
        <v>136.0</v>
      </c>
      <c r="C139" s="68" t="s">
        <v>1971</v>
      </c>
      <c r="D139" s="68" t="s">
        <v>1972</v>
      </c>
      <c r="E139" s="69">
        <v>5.145787486E9</v>
      </c>
      <c r="F139" s="70" t="s">
        <v>1973</v>
      </c>
      <c r="G139" s="63"/>
      <c r="H139" s="26"/>
      <c r="I139" s="66"/>
      <c r="J139" s="67"/>
      <c r="K139" s="67"/>
      <c r="L139" s="67"/>
      <c r="M139" s="67"/>
    </row>
    <row r="140" ht="15.75" customHeight="1">
      <c r="A140" s="71">
        <v>45732.0</v>
      </c>
      <c r="B140" s="72">
        <v>137.0</v>
      </c>
      <c r="C140" s="68" t="s">
        <v>1974</v>
      </c>
      <c r="D140" s="68" t="s">
        <v>1975</v>
      </c>
      <c r="E140" s="69">
        <v>5.142991726E9</v>
      </c>
      <c r="F140" s="70" t="s">
        <v>1976</v>
      </c>
      <c r="G140" s="63"/>
      <c r="H140" s="26"/>
      <c r="I140" s="66"/>
      <c r="J140" s="67"/>
      <c r="K140" s="67"/>
      <c r="L140" s="67"/>
      <c r="M140" s="67"/>
    </row>
    <row r="141" ht="15.75" customHeight="1">
      <c r="A141" s="71">
        <v>45732.0</v>
      </c>
      <c r="B141" s="29">
        <v>138.0</v>
      </c>
      <c r="C141" s="68" t="s">
        <v>1977</v>
      </c>
      <c r="D141" s="68" t="s">
        <v>1978</v>
      </c>
      <c r="E141" s="69">
        <v>9.059349919E9</v>
      </c>
      <c r="F141" s="70" t="s">
        <v>1979</v>
      </c>
      <c r="G141" s="63"/>
      <c r="H141" s="26"/>
      <c r="I141" s="66"/>
      <c r="J141" s="67"/>
      <c r="K141" s="67"/>
      <c r="L141" s="67"/>
      <c r="M141" s="67"/>
    </row>
    <row r="142" ht="15.75" customHeight="1">
      <c r="A142" s="71">
        <v>45735.0</v>
      </c>
      <c r="B142" s="62">
        <v>139.0</v>
      </c>
      <c r="C142" s="68" t="s">
        <v>1980</v>
      </c>
      <c r="D142" s="68" t="s">
        <v>1981</v>
      </c>
      <c r="E142" s="69">
        <v>5.793726289E9</v>
      </c>
      <c r="F142" s="70" t="s">
        <v>1982</v>
      </c>
      <c r="G142" s="63"/>
      <c r="H142" s="26"/>
      <c r="I142" s="66"/>
      <c r="J142" s="67"/>
      <c r="K142" s="67"/>
      <c r="L142" s="67"/>
      <c r="M142" s="67"/>
    </row>
    <row r="143" ht="15.75" customHeight="1">
      <c r="A143" s="71">
        <v>45735.0</v>
      </c>
      <c r="B143" s="62">
        <v>140.0</v>
      </c>
      <c r="C143" s="68" t="s">
        <v>1983</v>
      </c>
      <c r="D143" s="68" t="s">
        <v>428</v>
      </c>
      <c r="E143" s="69">
        <v>6.046191474E9</v>
      </c>
      <c r="F143" s="70" t="s">
        <v>1984</v>
      </c>
      <c r="G143" s="63"/>
      <c r="H143" s="26"/>
      <c r="I143" s="66"/>
      <c r="J143" s="67"/>
      <c r="K143" s="67"/>
      <c r="L143" s="67"/>
      <c r="M143" s="67"/>
    </row>
    <row r="144" ht="15.75" customHeight="1">
      <c r="A144" s="71">
        <v>45736.0</v>
      </c>
      <c r="B144" s="62">
        <v>141.0</v>
      </c>
      <c r="C144" s="68" t="s">
        <v>1985</v>
      </c>
      <c r="D144" s="68" t="s">
        <v>1986</v>
      </c>
      <c r="E144" s="69">
        <v>7.096901444E9</v>
      </c>
      <c r="F144" s="70" t="s">
        <v>1987</v>
      </c>
      <c r="G144" s="63"/>
      <c r="H144" s="26"/>
      <c r="I144" s="66"/>
      <c r="J144" s="67"/>
      <c r="K144" s="67"/>
      <c r="L144" s="67"/>
      <c r="M144" s="67"/>
    </row>
    <row r="145" ht="15.75" customHeight="1">
      <c r="A145" s="71">
        <v>45736.0</v>
      </c>
      <c r="B145" s="62">
        <v>142.0</v>
      </c>
      <c r="C145" s="68" t="s">
        <v>1988</v>
      </c>
      <c r="D145" s="68" t="s">
        <v>1989</v>
      </c>
      <c r="E145" s="69">
        <v>7.809077211E9</v>
      </c>
      <c r="F145" s="70" t="s">
        <v>1990</v>
      </c>
      <c r="G145" s="63"/>
      <c r="H145" s="26"/>
      <c r="I145" s="66"/>
      <c r="J145" s="67"/>
      <c r="K145" s="67"/>
      <c r="L145" s="67"/>
      <c r="M145" s="67"/>
    </row>
    <row r="146" ht="15.75" customHeight="1">
      <c r="A146" s="71">
        <v>45737.0</v>
      </c>
      <c r="B146" s="72">
        <v>143.0</v>
      </c>
      <c r="C146" s="68" t="s">
        <v>1222</v>
      </c>
      <c r="D146" s="68" t="s">
        <v>1864</v>
      </c>
      <c r="E146" s="69">
        <v>5.819284502E9</v>
      </c>
      <c r="F146" s="70" t="s">
        <v>1991</v>
      </c>
      <c r="G146" s="63"/>
      <c r="H146" s="26"/>
      <c r="I146" s="66"/>
      <c r="J146" s="67"/>
      <c r="K146" s="67"/>
      <c r="L146" s="67"/>
      <c r="M146" s="67"/>
    </row>
    <row r="147" ht="15.75" customHeight="1">
      <c r="A147" s="71">
        <v>45737.0</v>
      </c>
      <c r="B147" s="29">
        <v>144.0</v>
      </c>
      <c r="C147" s="68" t="s">
        <v>1992</v>
      </c>
      <c r="D147" s="68" t="s">
        <v>1993</v>
      </c>
      <c r="E147" s="69">
        <v>2.365180347E9</v>
      </c>
      <c r="F147" s="70" t="s">
        <v>1994</v>
      </c>
      <c r="G147" s="63"/>
      <c r="H147" s="26"/>
      <c r="I147" s="66"/>
      <c r="J147" s="67"/>
      <c r="K147" s="67"/>
      <c r="L147" s="67"/>
      <c r="M147" s="67"/>
    </row>
    <row r="148" ht="15.75" customHeight="1">
      <c r="A148" s="71">
        <v>45737.0</v>
      </c>
      <c r="B148" s="62">
        <v>145.0</v>
      </c>
      <c r="C148" s="68" t="s">
        <v>1995</v>
      </c>
      <c r="D148" s="68" t="s">
        <v>1996</v>
      </c>
      <c r="E148" s="69">
        <v>7.054897809E9</v>
      </c>
      <c r="F148" s="70" t="s">
        <v>1997</v>
      </c>
      <c r="G148" s="63"/>
      <c r="H148" s="26"/>
      <c r="I148" s="66"/>
      <c r="J148" s="67"/>
      <c r="K148" s="67"/>
      <c r="L148" s="67"/>
      <c r="M148" s="67"/>
    </row>
    <row r="149" ht="15.75" customHeight="1">
      <c r="A149" s="71">
        <v>45737.0</v>
      </c>
      <c r="B149" s="62">
        <v>146.0</v>
      </c>
      <c r="C149" s="68" t="s">
        <v>1998</v>
      </c>
      <c r="D149" s="68" t="s">
        <v>1999</v>
      </c>
      <c r="E149" s="69">
        <v>3.063155689E9</v>
      </c>
      <c r="F149" s="70" t="s">
        <v>2000</v>
      </c>
      <c r="G149" s="63"/>
      <c r="H149" s="26"/>
      <c r="I149" s="66"/>
      <c r="J149" s="67"/>
      <c r="K149" s="67"/>
      <c r="L149" s="67"/>
      <c r="M149" s="67"/>
    </row>
    <row r="150" ht="15.75" customHeight="1">
      <c r="A150" s="71">
        <v>45737.0</v>
      </c>
      <c r="B150" s="62">
        <v>147.0</v>
      </c>
      <c r="C150" s="68" t="s">
        <v>933</v>
      </c>
      <c r="D150" s="68" t="s">
        <v>2001</v>
      </c>
      <c r="E150" s="69">
        <v>9.022585398E9</v>
      </c>
      <c r="F150" s="70" t="s">
        <v>2002</v>
      </c>
      <c r="G150" s="63"/>
      <c r="H150" s="26"/>
      <c r="I150" s="66"/>
      <c r="J150" s="67"/>
      <c r="K150" s="67"/>
      <c r="L150" s="67"/>
      <c r="M150" s="67"/>
    </row>
    <row r="151" ht="15.75" customHeight="1">
      <c r="A151" s="71">
        <v>45737.0</v>
      </c>
      <c r="B151" s="62">
        <v>148.0</v>
      </c>
      <c r="C151" s="68" t="s">
        <v>2003</v>
      </c>
      <c r="D151" s="68" t="s">
        <v>2004</v>
      </c>
      <c r="E151" s="69">
        <v>4.505217041E9</v>
      </c>
      <c r="F151" s="70" t="s">
        <v>2005</v>
      </c>
      <c r="G151" s="63"/>
      <c r="H151" s="26"/>
      <c r="I151" s="66"/>
      <c r="J151" s="67"/>
      <c r="K151" s="67"/>
      <c r="L151" s="67"/>
      <c r="M151" s="67"/>
    </row>
    <row r="152" ht="15.75" customHeight="1">
      <c r="A152" s="71">
        <v>45737.0</v>
      </c>
      <c r="B152" s="72">
        <v>149.0</v>
      </c>
      <c r="C152" s="68" t="s">
        <v>2006</v>
      </c>
      <c r="D152" s="63"/>
      <c r="E152" s="69">
        <v>6.133345061E9</v>
      </c>
      <c r="F152" s="70" t="s">
        <v>2007</v>
      </c>
      <c r="G152" s="63"/>
      <c r="H152" s="26"/>
      <c r="I152" s="66"/>
      <c r="J152" s="67"/>
      <c r="K152" s="67"/>
      <c r="L152" s="67"/>
      <c r="M152" s="67"/>
    </row>
    <row r="153" ht="15.75" customHeight="1">
      <c r="A153" s="71">
        <v>45738.0</v>
      </c>
      <c r="B153" s="29">
        <v>150.0</v>
      </c>
      <c r="C153" s="68" t="s">
        <v>2008</v>
      </c>
      <c r="D153" s="68" t="s">
        <v>2009</v>
      </c>
      <c r="E153" s="69">
        <v>6.134720086E9</v>
      </c>
      <c r="F153" s="70" t="s">
        <v>2010</v>
      </c>
      <c r="G153" s="63"/>
      <c r="H153" s="26"/>
      <c r="I153" s="66"/>
      <c r="J153" s="67"/>
      <c r="K153" s="67"/>
      <c r="L153" s="67"/>
      <c r="M153" s="67"/>
    </row>
    <row r="154" ht="15.75" customHeight="1">
      <c r="A154" s="71">
        <v>45738.0</v>
      </c>
      <c r="B154" s="62">
        <v>151.0</v>
      </c>
      <c r="C154" s="68" t="s">
        <v>2011</v>
      </c>
      <c r="D154" s="68" t="s">
        <v>568</v>
      </c>
      <c r="E154" s="69">
        <v>8.733073061E9</v>
      </c>
      <c r="F154" s="70" t="s">
        <v>2012</v>
      </c>
      <c r="G154" s="63"/>
      <c r="H154" s="26"/>
      <c r="I154" s="66"/>
      <c r="J154" s="67"/>
      <c r="K154" s="67"/>
      <c r="L154" s="67"/>
      <c r="M154" s="67"/>
    </row>
    <row r="155" ht="15.75" customHeight="1">
      <c r="A155" s="71">
        <v>45739.0</v>
      </c>
      <c r="B155" s="62">
        <v>152.0</v>
      </c>
      <c r="C155" s="68" t="s">
        <v>2013</v>
      </c>
      <c r="D155" s="68" t="s">
        <v>2014</v>
      </c>
      <c r="E155" s="69">
        <v>9.022988061E9</v>
      </c>
      <c r="F155" s="70" t="s">
        <v>2015</v>
      </c>
      <c r="G155" s="63"/>
      <c r="H155" s="26"/>
      <c r="I155" s="66"/>
      <c r="J155" s="67"/>
      <c r="K155" s="67"/>
      <c r="L155" s="67"/>
      <c r="M155" s="67"/>
    </row>
    <row r="156" ht="15.75" customHeight="1">
      <c r="A156" s="71">
        <v>45739.0</v>
      </c>
      <c r="B156" s="62">
        <v>153.0</v>
      </c>
      <c r="C156" s="68" t="s">
        <v>2016</v>
      </c>
      <c r="D156" s="68" t="s">
        <v>2017</v>
      </c>
      <c r="E156" s="69">
        <v>7.80935586E9</v>
      </c>
      <c r="F156" s="70" t="s">
        <v>2018</v>
      </c>
      <c r="G156" s="63"/>
      <c r="H156" s="26"/>
      <c r="I156" s="66"/>
      <c r="J156" s="67"/>
      <c r="K156" s="67"/>
      <c r="L156" s="67"/>
      <c r="M156" s="67"/>
    </row>
    <row r="157" ht="15.75" customHeight="1">
      <c r="A157" s="71">
        <v>45740.0</v>
      </c>
      <c r="B157" s="62">
        <v>154.0</v>
      </c>
      <c r="C157" s="68" t="s">
        <v>2019</v>
      </c>
      <c r="D157" s="68" t="s">
        <v>2020</v>
      </c>
      <c r="E157" s="69">
        <v>5.068997334E9</v>
      </c>
      <c r="F157" s="70" t="s">
        <v>2021</v>
      </c>
      <c r="G157" s="63"/>
      <c r="H157" s="26"/>
      <c r="I157" s="66"/>
      <c r="J157" s="67"/>
      <c r="K157" s="67"/>
      <c r="L157" s="67"/>
      <c r="M157" s="67"/>
    </row>
    <row r="158" ht="15.75" customHeight="1">
      <c r="A158" s="71">
        <v>45740.0</v>
      </c>
      <c r="B158" s="72">
        <v>155.0</v>
      </c>
      <c r="C158" s="68" t="s">
        <v>2022</v>
      </c>
      <c r="D158" s="68" t="s">
        <v>2023</v>
      </c>
      <c r="E158" s="69">
        <v>4.313384338E9</v>
      </c>
      <c r="F158" s="70" t="s">
        <v>2024</v>
      </c>
      <c r="G158" s="63"/>
      <c r="H158" s="26"/>
      <c r="I158" s="66"/>
      <c r="J158" s="67"/>
      <c r="K158" s="67"/>
      <c r="L158" s="67"/>
      <c r="M158" s="67"/>
    </row>
    <row r="159" ht="15.75" customHeight="1">
      <c r="A159" s="71">
        <v>45740.0</v>
      </c>
      <c r="B159" s="29">
        <v>156.0</v>
      </c>
      <c r="C159" s="68" t="s">
        <v>2025</v>
      </c>
      <c r="D159" s="68" t="s">
        <v>2026</v>
      </c>
      <c r="E159" s="69">
        <v>4.039426122E9</v>
      </c>
      <c r="F159" s="70" t="s">
        <v>2027</v>
      </c>
      <c r="G159" s="63"/>
      <c r="H159" s="26"/>
      <c r="I159" s="66"/>
      <c r="J159" s="67"/>
      <c r="K159" s="67"/>
      <c r="L159" s="67"/>
      <c r="M159" s="67"/>
    </row>
    <row r="160" ht="15.75" customHeight="1">
      <c r="A160" s="71">
        <v>45740.0</v>
      </c>
      <c r="B160" s="62">
        <v>157.0</v>
      </c>
      <c r="C160" s="68" t="s">
        <v>2028</v>
      </c>
      <c r="D160" s="68" t="s">
        <v>2029</v>
      </c>
      <c r="E160" s="69">
        <v>7.809951527E9</v>
      </c>
      <c r="F160" s="70" t="s">
        <v>2030</v>
      </c>
      <c r="G160" s="63"/>
      <c r="H160" s="26"/>
      <c r="I160" s="66"/>
      <c r="J160" s="67"/>
      <c r="K160" s="67"/>
      <c r="L160" s="67"/>
      <c r="M160" s="67"/>
    </row>
    <row r="161" ht="15.75" customHeight="1">
      <c r="A161" s="71">
        <v>45741.0</v>
      </c>
      <c r="B161" s="62">
        <v>158.0</v>
      </c>
      <c r="C161" s="68" t="s">
        <v>1325</v>
      </c>
      <c r="D161" s="68" t="s">
        <v>2031</v>
      </c>
      <c r="E161" s="69">
        <v>8.072284585E9</v>
      </c>
      <c r="F161" s="70" t="s">
        <v>2032</v>
      </c>
      <c r="G161" s="63"/>
      <c r="H161" s="26"/>
      <c r="I161" s="66"/>
      <c r="J161" s="67"/>
      <c r="K161" s="67"/>
      <c r="L161" s="67"/>
      <c r="M161" s="67"/>
    </row>
    <row r="162" ht="15.75" customHeight="1">
      <c r="A162" s="71">
        <v>45742.0</v>
      </c>
      <c r="B162" s="73">
        <v>159.0</v>
      </c>
      <c r="C162" s="68" t="s">
        <v>2033</v>
      </c>
      <c r="D162" s="68" t="s">
        <v>2034</v>
      </c>
      <c r="E162" s="69">
        <v>7.807779839E9</v>
      </c>
      <c r="F162" s="70" t="s">
        <v>2035</v>
      </c>
      <c r="G162" s="63"/>
      <c r="H162" s="26"/>
      <c r="I162" s="66"/>
      <c r="J162" s="67"/>
      <c r="K162" s="67"/>
      <c r="L162" s="67"/>
      <c r="M162" s="67"/>
    </row>
    <row r="163" ht="15.75" customHeight="1">
      <c r="A163" s="71">
        <v>45742.0</v>
      </c>
      <c r="B163" s="62">
        <v>160.0</v>
      </c>
      <c r="C163" s="68" t="s">
        <v>1355</v>
      </c>
      <c r="D163" s="68" t="s">
        <v>2036</v>
      </c>
      <c r="E163" s="69">
        <v>3.064858308E9</v>
      </c>
      <c r="F163" s="70" t="s">
        <v>2037</v>
      </c>
      <c r="G163" s="63"/>
      <c r="H163" s="26"/>
      <c r="I163" s="66"/>
      <c r="J163" s="67"/>
      <c r="K163" s="67"/>
      <c r="L163" s="67"/>
      <c r="M163" s="67"/>
    </row>
    <row r="164" ht="15.75" customHeight="1">
      <c r="A164" s="71">
        <v>45743.0</v>
      </c>
      <c r="B164" s="73">
        <v>161.0</v>
      </c>
      <c r="C164" s="68" t="s">
        <v>2038</v>
      </c>
      <c r="D164" s="68" t="s">
        <v>2039</v>
      </c>
      <c r="E164" s="69">
        <v>5.81337703E9</v>
      </c>
      <c r="F164" s="70" t="s">
        <v>2040</v>
      </c>
      <c r="G164" s="63"/>
      <c r="H164" s="26"/>
      <c r="I164" s="66"/>
      <c r="J164" s="67"/>
      <c r="K164" s="67"/>
      <c r="L164" s="67"/>
      <c r="M164" s="67"/>
    </row>
    <row r="165" ht="15.75" customHeight="1">
      <c r="A165" s="71">
        <v>45743.0</v>
      </c>
      <c r="B165" s="29">
        <v>162.0</v>
      </c>
      <c r="C165" s="68" t="s">
        <v>2041</v>
      </c>
      <c r="D165" s="68" t="s">
        <v>2042</v>
      </c>
      <c r="E165" s="69">
        <v>7.802276953E9</v>
      </c>
      <c r="F165" s="70" t="s">
        <v>2043</v>
      </c>
      <c r="G165" s="63"/>
      <c r="H165" s="26"/>
      <c r="I165" s="66"/>
      <c r="J165" s="67"/>
      <c r="K165" s="67"/>
      <c r="L165" s="67"/>
      <c r="M165" s="67"/>
    </row>
    <row r="166" ht="15.75" customHeight="1">
      <c r="A166" s="74">
        <v>45746.0</v>
      </c>
      <c r="B166" s="62">
        <v>163.0</v>
      </c>
      <c r="C166" s="68" t="s">
        <v>2044</v>
      </c>
      <c r="D166" s="68" t="s">
        <v>2045</v>
      </c>
      <c r="E166" s="69">
        <v>5.068520024E9</v>
      </c>
      <c r="F166" s="70" t="s">
        <v>2046</v>
      </c>
      <c r="G166" s="63"/>
      <c r="H166" s="26"/>
      <c r="I166" s="66"/>
      <c r="J166" s="67"/>
      <c r="K166" s="67"/>
      <c r="L166" s="67"/>
      <c r="M166" s="67"/>
    </row>
    <row r="167" ht="15.75" customHeight="1">
      <c r="A167" s="71">
        <v>45747.0</v>
      </c>
      <c r="B167" s="62">
        <v>164.0</v>
      </c>
      <c r="C167" s="68" t="s">
        <v>2047</v>
      </c>
      <c r="D167" s="68" t="s">
        <v>1449</v>
      </c>
      <c r="E167" s="69">
        <v>5.064733529E9</v>
      </c>
      <c r="F167" s="70" t="s">
        <v>2048</v>
      </c>
      <c r="G167" s="63"/>
      <c r="H167" s="26"/>
      <c r="I167" s="66"/>
      <c r="J167" s="67"/>
      <c r="K167" s="67"/>
      <c r="L167" s="67"/>
      <c r="M167" s="67"/>
    </row>
    <row r="168" ht="15.75" customHeight="1">
      <c r="A168" s="71">
        <v>45747.0</v>
      </c>
      <c r="B168" s="73">
        <v>165.0</v>
      </c>
      <c r="C168" s="68" t="s">
        <v>2049</v>
      </c>
      <c r="D168" s="68" t="s">
        <v>2050</v>
      </c>
      <c r="E168" s="69">
        <v>4.187212035E9</v>
      </c>
      <c r="F168" s="70" t="s">
        <v>2051</v>
      </c>
      <c r="G168" s="63"/>
      <c r="H168" s="26"/>
      <c r="I168" s="66"/>
      <c r="J168" s="67"/>
      <c r="K168" s="67"/>
      <c r="L168" s="67"/>
      <c r="M168" s="67"/>
    </row>
    <row r="169" ht="15.75" customHeight="1">
      <c r="A169" s="71">
        <v>45747.0</v>
      </c>
      <c r="B169" s="29">
        <v>166.0</v>
      </c>
      <c r="C169" s="68" t="s">
        <v>164</v>
      </c>
      <c r="D169" s="68" t="s">
        <v>90</v>
      </c>
      <c r="E169" s="69">
        <v>2.508358284E9</v>
      </c>
      <c r="F169" s="70" t="s">
        <v>2052</v>
      </c>
      <c r="G169" s="63"/>
      <c r="H169" s="26"/>
      <c r="I169" s="66"/>
      <c r="J169" s="67"/>
      <c r="K169" s="67"/>
      <c r="L169" s="67"/>
      <c r="M169" s="67"/>
    </row>
    <row r="170" ht="15.75" customHeight="1">
      <c r="A170" s="71">
        <v>45749.0</v>
      </c>
      <c r="B170" s="62">
        <v>167.0</v>
      </c>
      <c r="C170" s="68" t="s">
        <v>2053</v>
      </c>
      <c r="D170" s="68" t="s">
        <v>1859</v>
      </c>
      <c r="E170" s="69">
        <v>5.065755203E9</v>
      </c>
      <c r="F170" s="70" t="s">
        <v>2054</v>
      </c>
      <c r="G170" s="63"/>
      <c r="H170" s="26"/>
      <c r="I170" s="66"/>
      <c r="J170" s="67"/>
      <c r="K170" s="67"/>
      <c r="L170" s="67"/>
      <c r="M170" s="67"/>
    </row>
    <row r="171" ht="15.75" customHeight="1">
      <c r="A171" s="71">
        <v>45749.0</v>
      </c>
      <c r="B171" s="62">
        <v>168.0</v>
      </c>
      <c r="C171" s="68" t="s">
        <v>1440</v>
      </c>
      <c r="D171" s="68" t="s">
        <v>2055</v>
      </c>
      <c r="E171" s="69">
        <v>6.136069379E9</v>
      </c>
      <c r="F171" s="70" t="s">
        <v>2056</v>
      </c>
      <c r="G171" s="63"/>
      <c r="H171" s="26"/>
      <c r="I171" s="66"/>
      <c r="J171" s="67"/>
      <c r="K171" s="67"/>
      <c r="L171" s="67"/>
      <c r="M171" s="67"/>
    </row>
    <row r="172" ht="15.75" customHeight="1">
      <c r="A172" s="71">
        <v>45750.0</v>
      </c>
      <c r="B172" s="73">
        <v>169.0</v>
      </c>
      <c r="C172" s="68" t="s">
        <v>2057</v>
      </c>
      <c r="D172" s="68" t="s">
        <v>4</v>
      </c>
      <c r="E172" s="69">
        <v>3.066121056E9</v>
      </c>
      <c r="F172" s="70" t="s">
        <v>2058</v>
      </c>
      <c r="G172" s="63"/>
      <c r="H172" s="26"/>
      <c r="I172" s="66"/>
      <c r="J172" s="67"/>
      <c r="K172" s="67"/>
      <c r="L172" s="67"/>
      <c r="M172" s="67"/>
    </row>
    <row r="173" ht="15.75" customHeight="1">
      <c r="A173" s="71">
        <v>45750.0</v>
      </c>
      <c r="B173" s="29">
        <v>170.0</v>
      </c>
      <c r="C173" s="68" t="s">
        <v>2059</v>
      </c>
      <c r="D173" s="68" t="s">
        <v>2060</v>
      </c>
      <c r="E173" s="69">
        <v>4.186601016E9</v>
      </c>
      <c r="F173" s="70" t="s">
        <v>2061</v>
      </c>
      <c r="G173" s="63"/>
      <c r="H173" s="26"/>
      <c r="I173" s="66"/>
      <c r="J173" s="67"/>
      <c r="K173" s="67"/>
      <c r="L173" s="67"/>
      <c r="M173" s="67"/>
    </row>
    <row r="174" ht="15.75" customHeight="1">
      <c r="A174" s="71">
        <v>45751.0</v>
      </c>
      <c r="B174" s="29">
        <v>171.0</v>
      </c>
      <c r="C174" s="68" t="s">
        <v>2062</v>
      </c>
      <c r="D174" s="68" t="s">
        <v>2063</v>
      </c>
      <c r="E174" s="69">
        <v>4.502789792E9</v>
      </c>
      <c r="F174" s="70" t="s">
        <v>2064</v>
      </c>
      <c r="G174" s="63"/>
      <c r="H174" s="26"/>
      <c r="I174" s="66"/>
      <c r="J174" s="67"/>
      <c r="K174" s="67"/>
      <c r="L174" s="67"/>
      <c r="M174" s="67"/>
    </row>
    <row r="175" ht="15.75" customHeight="1">
      <c r="A175" s="71">
        <v>45752.0</v>
      </c>
      <c r="B175" s="62">
        <v>172.0</v>
      </c>
      <c r="C175" s="68" t="s">
        <v>2065</v>
      </c>
      <c r="D175" s="68" t="s">
        <v>2066</v>
      </c>
      <c r="E175" s="69">
        <v>7.803815588E9</v>
      </c>
      <c r="F175" s="70" t="s">
        <v>2067</v>
      </c>
      <c r="G175" s="63"/>
      <c r="H175" s="26"/>
      <c r="I175" s="66"/>
      <c r="J175" s="67"/>
      <c r="K175" s="67"/>
      <c r="L175" s="67"/>
      <c r="M175" s="67"/>
    </row>
    <row r="176" ht="15.75" customHeight="1">
      <c r="A176" s="71">
        <v>45752.0</v>
      </c>
      <c r="B176" s="62">
        <v>173.0</v>
      </c>
      <c r="C176" s="68" t="s">
        <v>2068</v>
      </c>
      <c r="D176" s="68" t="s">
        <v>2069</v>
      </c>
      <c r="E176" s="69">
        <v>4.183823373E9</v>
      </c>
      <c r="F176" s="70" t="s">
        <v>2070</v>
      </c>
      <c r="G176" s="63"/>
      <c r="H176" s="26"/>
      <c r="I176" s="66"/>
      <c r="J176" s="67"/>
      <c r="K176" s="67"/>
      <c r="L176" s="67"/>
      <c r="M176" s="67"/>
    </row>
    <row r="177" ht="15.75" customHeight="1">
      <c r="A177" s="71">
        <v>45753.0</v>
      </c>
      <c r="B177" s="73">
        <v>174.0</v>
      </c>
      <c r="C177" s="68" t="s">
        <v>2071</v>
      </c>
      <c r="D177" s="68" t="s">
        <v>2072</v>
      </c>
      <c r="E177" s="69">
        <v>2.896755153E9</v>
      </c>
      <c r="F177" s="75" t="s">
        <v>2073</v>
      </c>
      <c r="G177" s="63"/>
      <c r="H177" s="26"/>
      <c r="I177" s="66"/>
      <c r="J177" s="67"/>
      <c r="K177" s="67"/>
      <c r="L177" s="67"/>
      <c r="M177" s="67"/>
    </row>
    <row r="178" ht="15.75" customHeight="1">
      <c r="A178" s="71">
        <v>45754.0</v>
      </c>
      <c r="B178" s="29">
        <v>175.0</v>
      </c>
      <c r="C178" s="68" t="s">
        <v>2074</v>
      </c>
      <c r="D178" s="68" t="s">
        <v>2075</v>
      </c>
      <c r="E178" s="69">
        <v>4.389951836E9</v>
      </c>
      <c r="F178" s="70" t="s">
        <v>2076</v>
      </c>
      <c r="G178" s="63"/>
      <c r="H178" s="26"/>
      <c r="I178" s="66"/>
      <c r="J178" s="67"/>
      <c r="K178" s="67"/>
      <c r="L178" s="67"/>
      <c r="M178" s="67"/>
    </row>
    <row r="179" ht="15.75" customHeight="1">
      <c r="A179" s="71">
        <v>45754.0</v>
      </c>
      <c r="B179" s="29">
        <v>176.0</v>
      </c>
      <c r="C179" s="68" t="s">
        <v>2077</v>
      </c>
      <c r="D179" s="68" t="s">
        <v>2078</v>
      </c>
      <c r="E179" s="69">
        <v>5.144347762E9</v>
      </c>
      <c r="F179" s="70" t="s">
        <v>2079</v>
      </c>
      <c r="G179" s="63"/>
      <c r="H179" s="26"/>
      <c r="I179" s="66"/>
      <c r="J179" s="67"/>
      <c r="K179" s="67"/>
      <c r="L179" s="67"/>
      <c r="M179" s="67"/>
    </row>
    <row r="180" ht="15.75" customHeight="1">
      <c r="A180" s="71">
        <v>45754.0</v>
      </c>
      <c r="B180" s="62">
        <v>177.0</v>
      </c>
      <c r="C180" s="68" t="s">
        <v>2080</v>
      </c>
      <c r="D180" s="68" t="s">
        <v>2081</v>
      </c>
      <c r="E180" s="69">
        <v>8.25440949E9</v>
      </c>
      <c r="F180" s="70" t="s">
        <v>2082</v>
      </c>
      <c r="G180" s="63"/>
      <c r="H180" s="26"/>
      <c r="I180" s="66"/>
      <c r="J180" s="67"/>
      <c r="K180" s="67"/>
      <c r="L180" s="67"/>
      <c r="M180" s="67"/>
    </row>
    <row r="181" ht="15.75" customHeight="1">
      <c r="A181" s="71">
        <v>45755.0</v>
      </c>
      <c r="B181" s="73">
        <v>178.0</v>
      </c>
      <c r="C181" s="68" t="s">
        <v>2083</v>
      </c>
      <c r="D181" s="68" t="s">
        <v>2084</v>
      </c>
      <c r="E181" s="69">
        <v>4.18376026E9</v>
      </c>
      <c r="F181" s="70" t="s">
        <v>2085</v>
      </c>
      <c r="G181" s="63"/>
      <c r="H181" s="26"/>
      <c r="I181" s="66"/>
      <c r="J181" s="67"/>
      <c r="K181" s="67"/>
      <c r="L181" s="67"/>
      <c r="M181" s="67"/>
    </row>
    <row r="182" ht="15.75" customHeight="1">
      <c r="A182" s="71">
        <v>45755.0</v>
      </c>
      <c r="B182" s="29">
        <v>179.0</v>
      </c>
      <c r="C182" s="68" t="s">
        <v>873</v>
      </c>
      <c r="D182" s="68" t="s">
        <v>2086</v>
      </c>
      <c r="E182" s="69">
        <v>4.385273572E9</v>
      </c>
      <c r="F182" s="70" t="s">
        <v>2087</v>
      </c>
      <c r="G182" s="63"/>
      <c r="H182" s="26"/>
      <c r="I182" s="66"/>
      <c r="J182" s="67"/>
      <c r="K182" s="67"/>
      <c r="L182" s="67"/>
      <c r="M182" s="67"/>
    </row>
    <row r="183" ht="15.75" customHeight="1">
      <c r="A183" s="71">
        <v>45756.0</v>
      </c>
      <c r="B183" s="29">
        <v>180.0</v>
      </c>
      <c r="C183" s="68" t="s">
        <v>2088</v>
      </c>
      <c r="D183" s="68" t="s">
        <v>2089</v>
      </c>
      <c r="E183" s="69">
        <v>6.39464963954E11</v>
      </c>
      <c r="F183" s="70" t="s">
        <v>2090</v>
      </c>
      <c r="G183" s="63"/>
      <c r="H183" s="26"/>
      <c r="I183" s="66"/>
      <c r="J183" s="67"/>
      <c r="K183" s="67"/>
      <c r="L183" s="67"/>
      <c r="M183" s="67"/>
    </row>
    <row r="184" ht="15.75" customHeight="1">
      <c r="A184" s="71">
        <v>45757.0</v>
      </c>
      <c r="B184" s="29">
        <v>181.0</v>
      </c>
      <c r="C184" s="68" t="s">
        <v>2091</v>
      </c>
      <c r="D184" s="68" t="s">
        <v>2092</v>
      </c>
      <c r="E184" s="69">
        <v>2.2623274E9</v>
      </c>
      <c r="F184" s="70" t="s">
        <v>2093</v>
      </c>
      <c r="G184" s="63"/>
      <c r="H184" s="26"/>
      <c r="I184" s="66"/>
      <c r="J184" s="67"/>
      <c r="K184" s="67"/>
      <c r="L184" s="67"/>
      <c r="M184" s="67"/>
    </row>
    <row r="185" ht="15.75" customHeight="1">
      <c r="A185" s="71">
        <v>45757.0</v>
      </c>
      <c r="B185" s="62">
        <v>182.0</v>
      </c>
      <c r="C185" s="68" t="s">
        <v>110</v>
      </c>
      <c r="D185" s="68" t="s">
        <v>2094</v>
      </c>
      <c r="E185" s="69">
        <v>2.049142811E9</v>
      </c>
      <c r="F185" s="70" t="s">
        <v>2095</v>
      </c>
      <c r="G185" s="63"/>
      <c r="H185" s="26"/>
      <c r="I185" s="66"/>
      <c r="J185" s="67"/>
      <c r="K185" s="67"/>
      <c r="L185" s="67"/>
      <c r="M185" s="67"/>
    </row>
    <row r="186" ht="15.75" customHeight="1">
      <c r="A186" s="71">
        <v>45757.0</v>
      </c>
      <c r="B186" s="73">
        <v>183.0</v>
      </c>
      <c r="C186" s="68" t="s">
        <v>2096</v>
      </c>
      <c r="D186" s="68" t="s">
        <v>1564</v>
      </c>
      <c r="E186" s="69">
        <v>9.053429764E9</v>
      </c>
      <c r="F186" s="70" t="s">
        <v>2097</v>
      </c>
      <c r="G186" s="63"/>
      <c r="H186" s="26"/>
      <c r="I186" s="66"/>
      <c r="J186" s="67"/>
      <c r="K186" s="67"/>
      <c r="L186" s="67"/>
      <c r="M186" s="67"/>
    </row>
    <row r="187" ht="15.75" customHeight="1">
      <c r="A187" s="71">
        <v>45757.0</v>
      </c>
      <c r="B187" s="62">
        <v>184.0</v>
      </c>
      <c r="C187" s="68" t="s">
        <v>2098</v>
      </c>
      <c r="D187" s="68" t="s">
        <v>2099</v>
      </c>
      <c r="E187" s="69">
        <v>4.039242049E9</v>
      </c>
      <c r="F187" s="70" t="s">
        <v>2100</v>
      </c>
      <c r="G187" s="63"/>
      <c r="H187" s="26"/>
      <c r="I187" s="66"/>
      <c r="J187" s="67"/>
      <c r="K187" s="67"/>
      <c r="L187" s="67"/>
      <c r="M187" s="67"/>
    </row>
    <row r="188" ht="15.75" customHeight="1">
      <c r="A188" s="71">
        <v>45758.0</v>
      </c>
      <c r="B188" s="73">
        <v>185.0</v>
      </c>
      <c r="C188" s="68" t="s">
        <v>2101</v>
      </c>
      <c r="D188" s="68" t="s">
        <v>2102</v>
      </c>
      <c r="E188" s="69">
        <v>5.068754718E9</v>
      </c>
      <c r="F188" s="70" t="s">
        <v>2103</v>
      </c>
      <c r="G188" s="63"/>
      <c r="H188" s="26"/>
      <c r="I188" s="66"/>
      <c r="J188" s="67"/>
      <c r="K188" s="67"/>
      <c r="L188" s="67"/>
      <c r="M188" s="67"/>
    </row>
    <row r="189" ht="15.75" customHeight="1">
      <c r="A189" s="71">
        <v>45760.0</v>
      </c>
      <c r="B189" s="29">
        <v>186.0</v>
      </c>
      <c r="C189" s="68" t="s">
        <v>2104</v>
      </c>
      <c r="D189" s="68" t="s">
        <v>2105</v>
      </c>
      <c r="E189" s="69">
        <v>4.50206105E9</v>
      </c>
      <c r="F189" s="70" t="s">
        <v>2106</v>
      </c>
      <c r="G189" s="63"/>
      <c r="H189" s="26"/>
      <c r="I189" s="66"/>
      <c r="J189" s="67"/>
      <c r="K189" s="67"/>
      <c r="L189" s="67"/>
      <c r="M189" s="67"/>
    </row>
    <row r="190" ht="15.75" customHeight="1">
      <c r="A190" s="71">
        <v>45760.0</v>
      </c>
      <c r="B190" s="29">
        <v>187.0</v>
      </c>
      <c r="C190" s="68" t="s">
        <v>2107</v>
      </c>
      <c r="D190" s="68" t="s">
        <v>2108</v>
      </c>
      <c r="E190" s="69">
        <v>7.804991623E9</v>
      </c>
      <c r="F190" s="70" t="s">
        <v>2109</v>
      </c>
      <c r="G190" s="63"/>
      <c r="H190" s="26"/>
      <c r="I190" s="66"/>
      <c r="J190" s="67"/>
      <c r="K190" s="67"/>
      <c r="L190" s="67"/>
      <c r="M190" s="67"/>
    </row>
    <row r="191" ht="15.75" customHeight="1">
      <c r="A191" s="71">
        <v>45760.0</v>
      </c>
      <c r="B191" s="29">
        <v>188.0</v>
      </c>
      <c r="C191" s="68" t="s">
        <v>2110</v>
      </c>
      <c r="D191" s="68" t="s">
        <v>2111</v>
      </c>
      <c r="E191" s="69">
        <v>9.028092204E9</v>
      </c>
      <c r="F191" s="70" t="s">
        <v>2112</v>
      </c>
      <c r="G191" s="63"/>
      <c r="H191" s="26"/>
      <c r="I191" s="66"/>
      <c r="J191" s="67"/>
      <c r="K191" s="67"/>
      <c r="L191" s="67"/>
      <c r="M191" s="67"/>
    </row>
    <row r="192" ht="15.75" customHeight="1">
      <c r="A192" s="71">
        <v>45761.0</v>
      </c>
      <c r="B192" s="62">
        <v>189.0</v>
      </c>
      <c r="C192" s="68" t="s">
        <v>2071</v>
      </c>
      <c r="D192" s="68" t="s">
        <v>2113</v>
      </c>
      <c r="E192" s="69">
        <v>7.097287828E9</v>
      </c>
      <c r="F192" s="70" t="s">
        <v>2114</v>
      </c>
      <c r="G192" s="63"/>
      <c r="H192" s="26"/>
      <c r="I192" s="66"/>
      <c r="J192" s="67"/>
      <c r="K192" s="67"/>
      <c r="L192" s="67"/>
      <c r="M192" s="67"/>
    </row>
    <row r="193" ht="15.75" customHeight="1">
      <c r="A193" s="71">
        <v>45761.0</v>
      </c>
      <c r="B193" s="73">
        <v>190.0</v>
      </c>
      <c r="C193" s="68" t="s">
        <v>2115</v>
      </c>
      <c r="D193" s="68" t="s">
        <v>2116</v>
      </c>
      <c r="E193" s="69">
        <v>7.828826052E9</v>
      </c>
      <c r="F193" s="70" t="s">
        <v>2117</v>
      </c>
      <c r="G193" s="63"/>
      <c r="H193" s="26"/>
      <c r="I193" s="66"/>
      <c r="J193" s="67"/>
      <c r="K193" s="67"/>
      <c r="L193" s="67"/>
      <c r="M193" s="67"/>
    </row>
    <row r="194" ht="15.75" customHeight="1">
      <c r="A194" s="71">
        <v>45762.0</v>
      </c>
      <c r="B194" s="62">
        <v>191.0</v>
      </c>
      <c r="C194" s="68" t="s">
        <v>2118</v>
      </c>
      <c r="D194" s="68" t="s">
        <v>2119</v>
      </c>
      <c r="E194" s="69">
        <v>4.18948549E9</v>
      </c>
      <c r="F194" s="70" t="s">
        <v>2120</v>
      </c>
      <c r="G194" s="63"/>
      <c r="H194" s="26"/>
      <c r="I194" s="66"/>
      <c r="J194" s="67"/>
      <c r="K194" s="67"/>
      <c r="L194" s="67"/>
      <c r="M194" s="67"/>
    </row>
    <row r="195" ht="15.75" customHeight="1">
      <c r="A195" s="71">
        <v>45763.0</v>
      </c>
      <c r="B195" s="73">
        <v>192.0</v>
      </c>
      <c r="C195" s="68" t="s">
        <v>2121</v>
      </c>
      <c r="D195" s="68" t="s">
        <v>2122</v>
      </c>
      <c r="E195" s="69">
        <v>5.144048915E9</v>
      </c>
      <c r="F195" s="70" t="s">
        <v>2123</v>
      </c>
      <c r="G195" s="63"/>
      <c r="H195" s="26"/>
      <c r="I195" s="66"/>
      <c r="J195" s="67"/>
      <c r="K195" s="67"/>
      <c r="L195" s="67"/>
      <c r="M195" s="67"/>
    </row>
    <row r="196" ht="15.75" customHeight="1">
      <c r="A196" s="71">
        <v>45763.0</v>
      </c>
      <c r="B196" s="29">
        <v>193.0</v>
      </c>
      <c r="C196" s="68" t="s">
        <v>2124</v>
      </c>
      <c r="D196" s="68" t="s">
        <v>2125</v>
      </c>
      <c r="E196" s="69">
        <v>5.875736858E9</v>
      </c>
      <c r="F196" s="70" t="s">
        <v>2126</v>
      </c>
      <c r="G196" s="63"/>
      <c r="H196" s="26"/>
      <c r="I196" s="66"/>
      <c r="J196" s="67"/>
      <c r="K196" s="67"/>
      <c r="L196" s="67"/>
      <c r="M196" s="67"/>
    </row>
    <row r="197" ht="15.75" customHeight="1">
      <c r="A197" s="71">
        <v>45763.0</v>
      </c>
      <c r="B197" s="29">
        <v>194.0</v>
      </c>
      <c r="C197" s="68" t="s">
        <v>2127</v>
      </c>
      <c r="D197" s="68" t="s">
        <v>2128</v>
      </c>
      <c r="E197" s="69">
        <v>3.065176167E9</v>
      </c>
      <c r="F197" s="70" t="s">
        <v>2129</v>
      </c>
      <c r="G197" s="63"/>
      <c r="H197" s="26"/>
      <c r="I197" s="66"/>
      <c r="J197" s="67"/>
      <c r="K197" s="67"/>
      <c r="L197" s="67"/>
      <c r="M197" s="67"/>
    </row>
    <row r="198" ht="15.75" customHeight="1">
      <c r="A198" s="71">
        <v>45763.0</v>
      </c>
      <c r="B198" s="29">
        <v>195.0</v>
      </c>
      <c r="C198" s="68" t="s">
        <v>213</v>
      </c>
      <c r="D198" s="68" t="s">
        <v>2130</v>
      </c>
      <c r="E198" s="69">
        <v>6.048198477E9</v>
      </c>
      <c r="F198" s="70" t="s">
        <v>2131</v>
      </c>
      <c r="G198" s="63"/>
      <c r="H198" s="26"/>
      <c r="I198" s="66"/>
      <c r="J198" s="67"/>
      <c r="K198" s="67"/>
      <c r="L198" s="67"/>
      <c r="M198" s="67"/>
    </row>
    <row r="199" ht="15.75" customHeight="1">
      <c r="A199" s="71">
        <v>45764.0</v>
      </c>
      <c r="B199" s="62">
        <v>196.0</v>
      </c>
      <c r="C199" s="68" t="s">
        <v>2132</v>
      </c>
      <c r="D199" s="68" t="s">
        <v>2133</v>
      </c>
      <c r="E199" s="69">
        <v>5.873369585E9</v>
      </c>
      <c r="F199" s="70" t="s">
        <v>2134</v>
      </c>
      <c r="G199" s="63"/>
      <c r="H199" s="26"/>
      <c r="I199" s="66"/>
      <c r="J199" s="67"/>
      <c r="K199" s="67"/>
      <c r="L199" s="67"/>
      <c r="M199" s="67"/>
    </row>
    <row r="200" ht="15.75" customHeight="1">
      <c r="A200" s="71">
        <v>45765.0</v>
      </c>
      <c r="B200" s="73">
        <v>197.0</v>
      </c>
      <c r="C200" s="68" t="s">
        <v>1974</v>
      </c>
      <c r="D200" s="68" t="s">
        <v>2135</v>
      </c>
      <c r="E200" s="69">
        <v>2.048804353E9</v>
      </c>
      <c r="F200" s="70" t="s">
        <v>2136</v>
      </c>
      <c r="G200" s="63"/>
      <c r="H200" s="26"/>
      <c r="I200" s="66"/>
      <c r="J200" s="67"/>
      <c r="K200" s="67"/>
      <c r="L200" s="67"/>
      <c r="M200" s="67"/>
    </row>
    <row r="201" ht="15.75" customHeight="1">
      <c r="A201" s="71">
        <v>45766.0</v>
      </c>
      <c r="B201" s="62">
        <v>198.0</v>
      </c>
      <c r="C201" s="68" t="s">
        <v>2137</v>
      </c>
      <c r="D201" s="68" t="s">
        <v>2138</v>
      </c>
      <c r="E201" s="69">
        <v>7.057914248E9</v>
      </c>
      <c r="F201" s="70" t="s">
        <v>2139</v>
      </c>
      <c r="G201" s="63"/>
      <c r="H201" s="26"/>
      <c r="I201" s="66"/>
      <c r="J201" s="67"/>
      <c r="K201" s="67"/>
      <c r="L201" s="67"/>
      <c r="M201" s="67"/>
    </row>
    <row r="202" ht="15.75" customHeight="1">
      <c r="A202" s="71">
        <v>45766.0</v>
      </c>
      <c r="B202" s="73">
        <v>199.0</v>
      </c>
      <c r="C202" s="68" t="s">
        <v>2140</v>
      </c>
      <c r="D202" s="68" t="s">
        <v>2141</v>
      </c>
      <c r="E202" s="69">
        <v>2.368731802E9</v>
      </c>
      <c r="F202" s="70" t="s">
        <v>2142</v>
      </c>
      <c r="G202" s="63"/>
      <c r="H202" s="26"/>
      <c r="I202" s="66"/>
      <c r="J202" s="67"/>
      <c r="K202" s="67"/>
      <c r="L202" s="67"/>
      <c r="M202" s="67"/>
    </row>
    <row r="203" ht="15.75" customHeight="1">
      <c r="A203" s="71">
        <v>45767.0</v>
      </c>
      <c r="B203" s="29">
        <v>200.0</v>
      </c>
      <c r="C203" s="68" t="s">
        <v>2143</v>
      </c>
      <c r="D203" s="68" t="s">
        <v>2144</v>
      </c>
      <c r="E203" s="69">
        <v>5.06871463E9</v>
      </c>
      <c r="F203" s="70" t="s">
        <v>2145</v>
      </c>
      <c r="G203" s="63"/>
      <c r="H203" s="26"/>
      <c r="I203" s="66"/>
      <c r="J203" s="67"/>
      <c r="K203" s="67"/>
      <c r="L203" s="67"/>
      <c r="M203" s="67"/>
    </row>
    <row r="204" ht="15.75" customHeight="1">
      <c r="A204" s="71">
        <v>45768.0</v>
      </c>
      <c r="B204" s="29">
        <v>201.0</v>
      </c>
      <c r="C204" s="68" t="s">
        <v>2146</v>
      </c>
      <c r="D204" s="68" t="s">
        <v>2147</v>
      </c>
      <c r="E204" s="69">
        <v>5.142336546E9</v>
      </c>
      <c r="F204" s="70" t="s">
        <v>2148</v>
      </c>
      <c r="G204" s="63"/>
      <c r="H204" s="26"/>
      <c r="I204" s="66"/>
      <c r="J204" s="67"/>
      <c r="K204" s="67"/>
      <c r="L204" s="67"/>
      <c r="M204" s="67"/>
    </row>
    <row r="205" ht="15.75" customHeight="1">
      <c r="A205" s="71">
        <v>45769.0</v>
      </c>
      <c r="B205" s="73">
        <v>202.0</v>
      </c>
      <c r="C205" s="68" t="s">
        <v>2149</v>
      </c>
      <c r="D205" s="68" t="s">
        <v>2150</v>
      </c>
      <c r="E205" s="69">
        <v>2.505910715E9</v>
      </c>
      <c r="F205" s="70" t="s">
        <v>2151</v>
      </c>
      <c r="G205" s="63"/>
      <c r="H205" s="26"/>
      <c r="I205" s="66"/>
      <c r="J205" s="67"/>
      <c r="K205" s="67"/>
      <c r="L205" s="67"/>
      <c r="M205" s="67"/>
    </row>
    <row r="206" ht="15.75" customHeight="1">
      <c r="A206" s="71">
        <v>45770.0</v>
      </c>
      <c r="B206" s="29">
        <v>203.0</v>
      </c>
      <c r="C206" s="68" t="s">
        <v>1554</v>
      </c>
      <c r="D206" s="68" t="s">
        <v>2152</v>
      </c>
      <c r="E206" s="69">
        <v>7.80402139E9</v>
      </c>
      <c r="F206" s="70" t="s">
        <v>2153</v>
      </c>
      <c r="G206" s="63"/>
      <c r="H206" s="26"/>
      <c r="I206" s="66"/>
      <c r="J206" s="67"/>
      <c r="K206" s="67"/>
      <c r="L206" s="67"/>
      <c r="M206" s="67"/>
    </row>
    <row r="207" ht="15.75" customHeight="1">
      <c r="A207" s="71">
        <v>45773.0</v>
      </c>
      <c r="B207" s="29">
        <v>204.0</v>
      </c>
      <c r="C207" s="68" t="s">
        <v>2154</v>
      </c>
      <c r="D207" s="68" t="s">
        <v>2155</v>
      </c>
      <c r="E207" s="69">
        <v>7.054617964E9</v>
      </c>
      <c r="F207" s="70" t="s">
        <v>2156</v>
      </c>
      <c r="G207" s="63"/>
      <c r="H207" s="26"/>
      <c r="I207" s="66"/>
      <c r="J207" s="67"/>
      <c r="K207" s="67"/>
      <c r="L207" s="67"/>
      <c r="M207" s="67"/>
    </row>
    <row r="208" ht="15.75" customHeight="1">
      <c r="A208" s="71">
        <v>45774.0</v>
      </c>
      <c r="B208" s="73">
        <v>205.0</v>
      </c>
      <c r="C208" s="68" t="s">
        <v>2157</v>
      </c>
      <c r="D208" s="68" t="s">
        <v>2158</v>
      </c>
      <c r="E208" s="69">
        <v>6.134533436E9</v>
      </c>
      <c r="F208" s="70" t="s">
        <v>2159</v>
      </c>
      <c r="G208" s="63"/>
      <c r="H208" s="26"/>
      <c r="I208" s="66"/>
      <c r="J208" s="67"/>
      <c r="K208" s="67"/>
      <c r="L208" s="67"/>
      <c r="M208" s="67"/>
    </row>
    <row r="209" ht="15.75" customHeight="1">
      <c r="A209" s="71">
        <v>45774.0</v>
      </c>
      <c r="B209" s="29">
        <v>206.0</v>
      </c>
      <c r="C209" s="68" t="s">
        <v>1428</v>
      </c>
      <c r="D209" s="68" t="s">
        <v>2160</v>
      </c>
      <c r="E209" s="69">
        <v>7.824464468E9</v>
      </c>
      <c r="F209" s="70" t="s">
        <v>2161</v>
      </c>
      <c r="G209" s="63"/>
      <c r="H209" s="26"/>
      <c r="I209" s="66"/>
      <c r="J209" s="67"/>
      <c r="K209" s="67"/>
      <c r="L209" s="67"/>
      <c r="M209" s="67"/>
    </row>
    <row r="210" ht="15.75" customHeight="1">
      <c r="A210" s="71">
        <v>45776.0</v>
      </c>
      <c r="B210" s="29">
        <v>207.0</v>
      </c>
      <c r="C210" s="68" t="s">
        <v>2162</v>
      </c>
      <c r="D210" s="68" t="s">
        <v>2163</v>
      </c>
      <c r="E210" s="69">
        <v>8.674442504E9</v>
      </c>
      <c r="F210" s="70" t="s">
        <v>2164</v>
      </c>
      <c r="G210" s="63"/>
      <c r="H210" s="26"/>
      <c r="I210" s="66"/>
      <c r="J210" s="67"/>
      <c r="K210" s="67"/>
      <c r="L210" s="67"/>
      <c r="M210" s="67"/>
    </row>
    <row r="211" ht="15.75" customHeight="1">
      <c r="A211" s="71">
        <v>45777.0</v>
      </c>
      <c r="B211" s="29">
        <v>208.0</v>
      </c>
      <c r="C211" s="68" t="s">
        <v>2165</v>
      </c>
      <c r="D211" s="68" t="s">
        <v>2166</v>
      </c>
      <c r="E211" s="69">
        <v>5.148232457E9</v>
      </c>
      <c r="F211" s="70" t="s">
        <v>2167</v>
      </c>
      <c r="G211" s="63"/>
      <c r="H211" s="26"/>
      <c r="I211" s="66"/>
      <c r="J211" s="67"/>
      <c r="K211" s="67"/>
      <c r="L211" s="67"/>
      <c r="M211" s="67"/>
    </row>
    <row r="212" ht="15.75" customHeight="1">
      <c r="A212" s="71">
        <v>45778.0</v>
      </c>
      <c r="B212" s="73">
        <v>209.0</v>
      </c>
      <c r="C212" s="68" t="s">
        <v>2168</v>
      </c>
      <c r="D212" s="68" t="s">
        <v>2169</v>
      </c>
      <c r="E212" s="69">
        <v>9.024401962E9</v>
      </c>
      <c r="F212" s="70" t="s">
        <v>2170</v>
      </c>
      <c r="G212" s="63"/>
      <c r="H212" s="26"/>
      <c r="I212" s="66"/>
      <c r="J212" s="67"/>
      <c r="K212" s="67"/>
      <c r="L212" s="67"/>
      <c r="M212" s="67"/>
    </row>
    <row r="213" ht="15.75" customHeight="1">
      <c r="A213" s="71">
        <v>45778.0</v>
      </c>
      <c r="B213" s="29">
        <v>210.0</v>
      </c>
      <c r="C213" s="68" t="s">
        <v>2101</v>
      </c>
      <c r="D213" s="68" t="s">
        <v>2171</v>
      </c>
      <c r="E213" s="69">
        <v>5.148501749E9</v>
      </c>
      <c r="F213" s="70" t="s">
        <v>2172</v>
      </c>
      <c r="G213" s="63"/>
      <c r="H213" s="26"/>
      <c r="I213" s="66"/>
      <c r="J213" s="67"/>
      <c r="K213" s="67"/>
      <c r="L213" s="67"/>
      <c r="M213" s="67"/>
    </row>
    <row r="214" ht="15.75" customHeight="1">
      <c r="A214" s="71">
        <v>45778.0</v>
      </c>
      <c r="B214" s="29">
        <v>211.0</v>
      </c>
      <c r="C214" s="68" t="s">
        <v>2173</v>
      </c>
      <c r="D214" s="68" t="s">
        <v>2174</v>
      </c>
      <c r="E214" s="69">
        <v>2.262000097E9</v>
      </c>
      <c r="F214" s="70" t="s">
        <v>2175</v>
      </c>
      <c r="G214" s="63"/>
      <c r="H214" s="26"/>
      <c r="I214" s="66"/>
      <c r="J214" s="67"/>
      <c r="K214" s="67"/>
      <c r="L214" s="67"/>
      <c r="M214" s="67"/>
    </row>
    <row r="215" ht="15.75" customHeight="1">
      <c r="A215" s="71">
        <v>45780.0</v>
      </c>
      <c r="B215" s="29">
        <v>212.0</v>
      </c>
      <c r="C215" s="68" t="s">
        <v>2176</v>
      </c>
      <c r="D215" s="68" t="s">
        <v>2177</v>
      </c>
      <c r="E215" s="69">
        <v>4.184778006E9</v>
      </c>
      <c r="F215" s="70" t="s">
        <v>2178</v>
      </c>
      <c r="G215" s="63"/>
      <c r="H215" s="26"/>
      <c r="I215" s="66"/>
      <c r="J215" s="67"/>
      <c r="K215" s="67"/>
      <c r="L215" s="67"/>
      <c r="M215" s="67"/>
    </row>
    <row r="216" ht="15.75" customHeight="1">
      <c r="A216" s="71">
        <v>45780.0</v>
      </c>
      <c r="B216" s="73">
        <v>213.0</v>
      </c>
      <c r="C216" s="68" t="s">
        <v>1931</v>
      </c>
      <c r="D216" s="68" t="s">
        <v>2179</v>
      </c>
      <c r="E216" s="69">
        <v>4.315881241E9</v>
      </c>
      <c r="F216" s="75" t="s">
        <v>2180</v>
      </c>
      <c r="G216" s="63"/>
      <c r="H216" s="26"/>
      <c r="I216" s="66"/>
      <c r="J216" s="67"/>
      <c r="K216" s="67"/>
      <c r="L216" s="67"/>
      <c r="M216" s="67"/>
    </row>
    <row r="217" ht="15.75" customHeight="1">
      <c r="A217" s="71">
        <v>45780.0</v>
      </c>
      <c r="B217" s="29">
        <v>214.0</v>
      </c>
      <c r="C217" s="68" t="s">
        <v>2181</v>
      </c>
      <c r="D217" s="68" t="s">
        <v>2182</v>
      </c>
      <c r="E217" s="69">
        <v>5.062330049E9</v>
      </c>
      <c r="F217" s="70" t="s">
        <v>2183</v>
      </c>
      <c r="G217" s="63"/>
      <c r="H217" s="26"/>
      <c r="I217" s="66"/>
      <c r="J217" s="67"/>
      <c r="K217" s="67"/>
      <c r="L217" s="67"/>
      <c r="M217" s="67"/>
    </row>
    <row r="218" ht="15.75" customHeight="1">
      <c r="A218" s="71">
        <v>45781.0</v>
      </c>
      <c r="B218" s="29">
        <v>215.0</v>
      </c>
      <c r="C218" s="76" t="s">
        <v>2184</v>
      </c>
      <c r="D218" s="68" t="s">
        <v>2185</v>
      </c>
      <c r="E218" s="69">
        <v>3.80970448789E11</v>
      </c>
      <c r="F218" s="70" t="s">
        <v>2186</v>
      </c>
      <c r="G218" s="63"/>
      <c r="H218" s="26"/>
      <c r="I218" s="66"/>
      <c r="J218" s="67"/>
      <c r="K218" s="67"/>
      <c r="L218" s="67"/>
      <c r="M218" s="67"/>
    </row>
    <row r="219" ht="15.75" customHeight="1">
      <c r="A219" s="71">
        <v>45781.0</v>
      </c>
      <c r="B219" s="29">
        <v>216.0</v>
      </c>
      <c r="C219" s="68" t="s">
        <v>2187</v>
      </c>
      <c r="D219" s="68" t="s">
        <v>2188</v>
      </c>
      <c r="E219" s="69">
        <v>8.259665858E9</v>
      </c>
      <c r="F219" s="70" t="s">
        <v>2189</v>
      </c>
      <c r="G219" s="63"/>
      <c r="H219" s="26"/>
      <c r="I219" s="66"/>
      <c r="J219" s="67"/>
      <c r="K219" s="67"/>
      <c r="L219" s="67"/>
      <c r="M219" s="67"/>
    </row>
    <row r="220" ht="15.75" customHeight="1">
      <c r="A220" s="71">
        <v>45781.0</v>
      </c>
      <c r="B220" s="73">
        <v>217.0</v>
      </c>
      <c r="C220" s="68" t="s">
        <v>2190</v>
      </c>
      <c r="D220" s="68" t="s">
        <v>2191</v>
      </c>
      <c r="E220" s="69">
        <v>6.047193232E9</v>
      </c>
      <c r="F220" s="70" t="s">
        <v>2192</v>
      </c>
      <c r="G220" s="63"/>
      <c r="H220" s="26"/>
      <c r="I220" s="66"/>
      <c r="J220" s="67"/>
      <c r="K220" s="67"/>
      <c r="L220" s="67"/>
      <c r="M220" s="67"/>
    </row>
    <row r="221" ht="15.75" customHeight="1">
      <c r="A221" s="71">
        <v>45781.0</v>
      </c>
      <c r="B221" s="29">
        <v>218.0</v>
      </c>
      <c r="C221" s="68" t="s">
        <v>2193</v>
      </c>
      <c r="D221" s="68" t="s">
        <v>2194</v>
      </c>
      <c r="E221" s="69">
        <v>3.065196021E9</v>
      </c>
      <c r="F221" s="70" t="s">
        <v>2195</v>
      </c>
      <c r="G221" s="63"/>
      <c r="H221" s="26"/>
      <c r="I221" s="66"/>
      <c r="J221" s="67"/>
      <c r="K221" s="67"/>
      <c r="L221" s="67"/>
      <c r="M221" s="67"/>
    </row>
    <row r="222" ht="15.75" customHeight="1">
      <c r="A222" s="71">
        <v>45781.0</v>
      </c>
      <c r="B222" s="29">
        <v>219.0</v>
      </c>
      <c r="C222" s="68" t="s">
        <v>2196</v>
      </c>
      <c r="D222" s="68" t="s">
        <v>2197</v>
      </c>
      <c r="E222" s="69">
        <v>3.062290372E9</v>
      </c>
      <c r="F222" s="70" t="s">
        <v>2198</v>
      </c>
      <c r="G222" s="63"/>
      <c r="H222" s="26"/>
      <c r="I222" s="66"/>
      <c r="J222" s="67"/>
      <c r="K222" s="67"/>
      <c r="L222" s="67"/>
      <c r="M222" s="67"/>
    </row>
    <row r="223" ht="15.75" customHeight="1">
      <c r="A223" s="71">
        <v>45781.0</v>
      </c>
      <c r="B223" s="29">
        <v>220.0</v>
      </c>
      <c r="C223" s="68" t="s">
        <v>2199</v>
      </c>
      <c r="D223" s="68" t="s">
        <v>2200</v>
      </c>
      <c r="E223" s="69">
        <v>5.149613531E9</v>
      </c>
      <c r="F223" s="70" t="s">
        <v>2201</v>
      </c>
      <c r="G223" s="63"/>
      <c r="H223" s="26"/>
      <c r="I223" s="66"/>
      <c r="J223" s="67"/>
      <c r="K223" s="67"/>
      <c r="L223" s="67"/>
      <c r="M223" s="67"/>
    </row>
    <row r="224" ht="15.75" customHeight="1">
      <c r="A224" s="71">
        <v>45781.0</v>
      </c>
      <c r="B224" s="73">
        <v>221.0</v>
      </c>
      <c r="C224" s="68" t="s">
        <v>2202</v>
      </c>
      <c r="D224" s="68" t="s">
        <v>2203</v>
      </c>
      <c r="E224" s="69">
        <v>5.069625517E9</v>
      </c>
      <c r="F224" s="70" t="s">
        <v>2204</v>
      </c>
      <c r="G224" s="63"/>
      <c r="H224" s="26"/>
      <c r="I224" s="66"/>
      <c r="J224" s="67"/>
      <c r="K224" s="67"/>
      <c r="L224" s="67"/>
      <c r="M224" s="67"/>
    </row>
    <row r="225" ht="15.75" customHeight="1">
      <c r="A225" s="71">
        <v>45782.0</v>
      </c>
      <c r="B225" s="29">
        <v>222.0</v>
      </c>
      <c r="C225" s="68" t="s">
        <v>2205</v>
      </c>
      <c r="D225" s="68" t="s">
        <v>2206</v>
      </c>
      <c r="E225" s="69">
        <v>2.262327341E9</v>
      </c>
      <c r="F225" s="70" t="s">
        <v>2207</v>
      </c>
      <c r="G225" s="63"/>
      <c r="H225" s="26"/>
      <c r="I225" s="66"/>
      <c r="J225" s="67"/>
      <c r="K225" s="67"/>
      <c r="L225" s="67"/>
      <c r="M225" s="67"/>
    </row>
    <row r="226" ht="15.75" customHeight="1">
      <c r="A226" s="71">
        <v>45782.0</v>
      </c>
      <c r="B226" s="29">
        <v>223.0</v>
      </c>
      <c r="C226" s="68" t="s">
        <v>2208</v>
      </c>
      <c r="D226" s="68" t="s">
        <v>2209</v>
      </c>
      <c r="E226" s="69">
        <v>7.809082559E9</v>
      </c>
      <c r="F226" s="70" t="s">
        <v>2210</v>
      </c>
      <c r="G226" s="63"/>
      <c r="H226" s="26"/>
      <c r="I226" s="66"/>
      <c r="J226" s="67"/>
      <c r="K226" s="67"/>
      <c r="L226" s="67"/>
      <c r="M226" s="67"/>
    </row>
    <row r="227" ht="15.75" customHeight="1">
      <c r="A227" s="71">
        <v>45784.0</v>
      </c>
      <c r="B227" s="73">
        <v>224.0</v>
      </c>
      <c r="C227" s="68" t="s">
        <v>2211</v>
      </c>
      <c r="D227" s="68" t="s">
        <v>2212</v>
      </c>
      <c r="E227" s="69">
        <v>7.807168937E9</v>
      </c>
      <c r="F227" s="70" t="s">
        <v>2213</v>
      </c>
      <c r="G227" s="63"/>
      <c r="H227" s="26"/>
      <c r="I227" s="66"/>
      <c r="J227" s="67"/>
      <c r="K227" s="67"/>
      <c r="L227" s="67"/>
      <c r="M227" s="67"/>
    </row>
    <row r="228" ht="15.75" customHeight="1">
      <c r="A228" s="71">
        <v>45786.0</v>
      </c>
      <c r="B228" s="29">
        <v>225.0</v>
      </c>
      <c r="C228" s="68" t="s">
        <v>2214</v>
      </c>
      <c r="D228" s="68" t="s">
        <v>2215</v>
      </c>
      <c r="E228" s="69">
        <v>7.78392574E9</v>
      </c>
      <c r="F228" s="70" t="s">
        <v>2216</v>
      </c>
      <c r="G228" s="63"/>
      <c r="H228" s="26"/>
      <c r="I228" s="66"/>
      <c r="J228" s="67"/>
      <c r="K228" s="67"/>
      <c r="L228" s="67"/>
      <c r="M228" s="67"/>
    </row>
    <row r="229" ht="15.75" customHeight="1">
      <c r="A229" s="71">
        <v>45787.0</v>
      </c>
      <c r="B229" s="29">
        <v>226.0</v>
      </c>
      <c r="C229" s="68" t="s">
        <v>398</v>
      </c>
      <c r="D229" s="68" t="s">
        <v>2217</v>
      </c>
      <c r="E229" s="69">
        <v>5.819902113E9</v>
      </c>
      <c r="F229" s="70" t="s">
        <v>2218</v>
      </c>
      <c r="G229" s="63"/>
      <c r="H229" s="26"/>
      <c r="I229" s="66"/>
      <c r="J229" s="67"/>
      <c r="K229" s="67"/>
      <c r="L229" s="67"/>
      <c r="M229" s="67"/>
    </row>
    <row r="230" ht="15.75" customHeight="1">
      <c r="A230" s="71">
        <v>45788.0</v>
      </c>
      <c r="B230" s="29">
        <v>227.0</v>
      </c>
      <c r="C230" s="68" t="s">
        <v>981</v>
      </c>
      <c r="D230" s="68" t="s">
        <v>2219</v>
      </c>
      <c r="E230" s="69">
        <v>6.394804922E9</v>
      </c>
      <c r="F230" s="70" t="s">
        <v>2220</v>
      </c>
      <c r="G230" s="63"/>
      <c r="H230" s="26"/>
      <c r="I230" s="66"/>
      <c r="J230" s="67"/>
      <c r="K230" s="67"/>
      <c r="L230" s="67"/>
      <c r="M230" s="67"/>
    </row>
    <row r="231" ht="15.75" customHeight="1">
      <c r="A231" s="71">
        <v>45789.0</v>
      </c>
      <c r="B231" s="73">
        <v>228.0</v>
      </c>
      <c r="C231" s="68" t="s">
        <v>2221</v>
      </c>
      <c r="D231" s="68" t="s">
        <v>2222</v>
      </c>
      <c r="E231" s="69">
        <v>2.506678375E9</v>
      </c>
      <c r="F231" s="70" t="s">
        <v>2223</v>
      </c>
      <c r="G231" s="63"/>
      <c r="H231" s="26"/>
      <c r="I231" s="66"/>
      <c r="J231" s="67"/>
      <c r="K231" s="67"/>
      <c r="L231" s="67"/>
      <c r="M231" s="67"/>
    </row>
    <row r="232" ht="15.75" customHeight="1">
      <c r="A232" s="71">
        <v>45789.0</v>
      </c>
      <c r="B232" s="29">
        <v>229.0</v>
      </c>
      <c r="C232" s="68" t="s">
        <v>2224</v>
      </c>
      <c r="D232" s="68" t="s">
        <v>2225</v>
      </c>
      <c r="E232" s="69">
        <v>2.04905091E9</v>
      </c>
      <c r="F232" s="70" t="s">
        <v>2226</v>
      </c>
      <c r="G232" s="63"/>
      <c r="H232" s="26"/>
      <c r="I232" s="66"/>
      <c r="J232" s="67"/>
      <c r="K232" s="67"/>
      <c r="L232" s="67"/>
      <c r="M232" s="67"/>
    </row>
    <row r="233" ht="15.75" customHeight="1">
      <c r="A233" s="71">
        <v>45790.0</v>
      </c>
      <c r="B233" s="29">
        <v>230.0</v>
      </c>
      <c r="C233" s="68" t="s">
        <v>2068</v>
      </c>
      <c r="D233" s="68" t="s">
        <v>2227</v>
      </c>
      <c r="E233" s="69">
        <v>4.505447415E9</v>
      </c>
      <c r="F233" s="70" t="s">
        <v>2228</v>
      </c>
      <c r="G233" s="63"/>
      <c r="H233" s="26"/>
      <c r="I233" s="66"/>
      <c r="J233" s="67"/>
      <c r="K233" s="67"/>
      <c r="L233" s="67"/>
      <c r="M233" s="67"/>
    </row>
    <row r="234" ht="15.75" customHeight="1">
      <c r="A234" s="71">
        <v>45790.0</v>
      </c>
      <c r="B234" s="73">
        <v>231.0</v>
      </c>
      <c r="C234" s="68" t="s">
        <v>2229</v>
      </c>
      <c r="D234" s="68" t="s">
        <v>2230</v>
      </c>
      <c r="E234" s="69">
        <v>2.049637436E9</v>
      </c>
      <c r="F234" s="70" t="s">
        <v>2231</v>
      </c>
      <c r="G234" s="63"/>
      <c r="H234" s="26"/>
      <c r="I234" s="66"/>
      <c r="J234" s="67"/>
      <c r="K234" s="67"/>
      <c r="L234" s="67"/>
      <c r="M234" s="67"/>
    </row>
    <row r="235" ht="15.75" customHeight="1">
      <c r="A235" s="71">
        <v>45790.0</v>
      </c>
      <c r="B235" s="29">
        <v>232.0</v>
      </c>
      <c r="C235" s="68" t="s">
        <v>2232</v>
      </c>
      <c r="D235" s="68" t="s">
        <v>2233</v>
      </c>
      <c r="E235" s="69">
        <v>7.809345559E9</v>
      </c>
      <c r="F235" s="70" t="s">
        <v>2234</v>
      </c>
      <c r="G235" s="63"/>
      <c r="H235" s="26"/>
      <c r="I235" s="66"/>
      <c r="J235" s="67"/>
      <c r="K235" s="67"/>
      <c r="L235" s="67"/>
      <c r="M235" s="67"/>
    </row>
    <row r="236" ht="15.75" customHeight="1">
      <c r="A236" s="71">
        <v>45791.0</v>
      </c>
      <c r="B236" s="29">
        <v>233.0</v>
      </c>
      <c r="C236" s="68" t="s">
        <v>2235</v>
      </c>
      <c r="D236" s="68" t="s">
        <v>2236</v>
      </c>
      <c r="E236" s="69">
        <v>4.3176468E9</v>
      </c>
      <c r="F236" s="70" t="s">
        <v>2237</v>
      </c>
      <c r="G236" s="63"/>
      <c r="H236" s="26"/>
      <c r="I236" s="66"/>
      <c r="J236" s="67"/>
      <c r="K236" s="67"/>
      <c r="L236" s="67"/>
      <c r="M236" s="67"/>
    </row>
    <row r="237" ht="15.75" customHeight="1">
      <c r="A237" s="71">
        <v>45791.0</v>
      </c>
      <c r="B237" s="29">
        <v>234.0</v>
      </c>
      <c r="C237" s="68" t="s">
        <v>1856</v>
      </c>
      <c r="D237" s="68" t="s">
        <v>2238</v>
      </c>
      <c r="E237" s="69">
        <v>5.19495197E9</v>
      </c>
      <c r="F237" s="70" t="s">
        <v>2239</v>
      </c>
      <c r="G237" s="63"/>
      <c r="H237" s="26"/>
      <c r="I237" s="66"/>
      <c r="J237" s="67"/>
      <c r="K237" s="67"/>
      <c r="L237" s="67"/>
      <c r="M237" s="67"/>
    </row>
    <row r="238" ht="15.75" customHeight="1">
      <c r="A238" s="71">
        <v>45793.0</v>
      </c>
      <c r="B238" s="29">
        <v>235.0</v>
      </c>
      <c r="C238" s="68" t="s">
        <v>2240</v>
      </c>
      <c r="D238" s="68" t="s">
        <v>2241</v>
      </c>
      <c r="E238" s="69">
        <v>4.186893081E9</v>
      </c>
      <c r="F238" s="70" t="s">
        <v>2242</v>
      </c>
      <c r="G238" s="63"/>
      <c r="H238" s="26"/>
      <c r="I238" s="66"/>
      <c r="J238" s="67"/>
      <c r="K238" s="67"/>
      <c r="L238" s="67"/>
      <c r="M238" s="67"/>
    </row>
    <row r="239" ht="15.75" customHeight="1">
      <c r="A239" s="71">
        <v>45794.0</v>
      </c>
      <c r="B239" s="73">
        <v>236.0</v>
      </c>
      <c r="C239" s="68" t="s">
        <v>2243</v>
      </c>
      <c r="D239" s="68" t="s">
        <v>2244</v>
      </c>
      <c r="E239" s="69">
        <v>5.063672546E9</v>
      </c>
      <c r="F239" s="70" t="s">
        <v>2245</v>
      </c>
      <c r="G239" s="63"/>
      <c r="H239" s="26"/>
      <c r="I239" s="66"/>
      <c r="J239" s="67"/>
      <c r="K239" s="67"/>
      <c r="L239" s="67"/>
      <c r="M239" s="67"/>
    </row>
    <row r="240" ht="15.75" customHeight="1">
      <c r="A240" s="71">
        <v>45795.0</v>
      </c>
      <c r="B240" s="29">
        <v>237.0</v>
      </c>
      <c r="C240" s="68" t="s">
        <v>2246</v>
      </c>
      <c r="D240" s="68" t="s">
        <v>2247</v>
      </c>
      <c r="E240" s="69">
        <v>5.063121428E9</v>
      </c>
      <c r="F240" s="70" t="s">
        <v>2248</v>
      </c>
      <c r="G240" s="63"/>
      <c r="H240" s="26"/>
      <c r="I240" s="66"/>
      <c r="J240" s="67"/>
      <c r="K240" s="67"/>
      <c r="L240" s="67"/>
      <c r="M240" s="67"/>
    </row>
    <row r="241" ht="15.75" customHeight="1">
      <c r="A241" s="71">
        <v>45795.0</v>
      </c>
      <c r="B241" s="29">
        <v>238.0</v>
      </c>
      <c r="C241" s="68" t="s">
        <v>2249</v>
      </c>
      <c r="D241" s="68" t="s">
        <v>2250</v>
      </c>
      <c r="E241" s="69">
        <v>5.144677684E9</v>
      </c>
      <c r="F241" s="70" t="s">
        <v>2251</v>
      </c>
      <c r="G241" s="63"/>
      <c r="H241" s="26"/>
      <c r="I241" s="66"/>
      <c r="J241" s="67"/>
      <c r="K241" s="67"/>
      <c r="L241" s="67"/>
      <c r="M241" s="67"/>
    </row>
    <row r="242" ht="15.75" customHeight="1">
      <c r="A242" s="71">
        <v>45795.0</v>
      </c>
      <c r="B242" s="73">
        <v>239.0</v>
      </c>
      <c r="C242" s="68" t="s">
        <v>2252</v>
      </c>
      <c r="D242" s="68" t="s">
        <v>2253</v>
      </c>
      <c r="E242" s="69">
        <v>9.025432435E9</v>
      </c>
      <c r="F242" s="70" t="s">
        <v>2254</v>
      </c>
      <c r="G242" s="63"/>
      <c r="H242" s="26"/>
      <c r="I242" s="66"/>
      <c r="J242" s="67"/>
      <c r="K242" s="67"/>
      <c r="L242" s="67"/>
      <c r="M242" s="67"/>
    </row>
    <row r="243" ht="15.75" customHeight="1">
      <c r="A243" s="71">
        <v>45795.0</v>
      </c>
      <c r="B243" s="29">
        <v>240.0</v>
      </c>
      <c r="C243" s="68" t="s">
        <v>449</v>
      </c>
      <c r="D243" s="68" t="s">
        <v>2255</v>
      </c>
      <c r="E243" s="69">
        <v>9.023091233E9</v>
      </c>
      <c r="F243" s="70" t="s">
        <v>2256</v>
      </c>
      <c r="G243" s="63"/>
      <c r="H243" s="26"/>
      <c r="I243" s="66"/>
      <c r="J243" s="67"/>
      <c r="K243" s="67"/>
      <c r="L243" s="67"/>
      <c r="M243" s="67"/>
    </row>
    <row r="244" ht="15.75" customHeight="1">
      <c r="A244" s="71">
        <v>45795.0</v>
      </c>
      <c r="B244" s="29">
        <v>241.0</v>
      </c>
      <c r="C244" s="68" t="s">
        <v>2080</v>
      </c>
      <c r="D244" s="68" t="s">
        <v>2257</v>
      </c>
      <c r="E244" s="69">
        <v>5.197610717E9</v>
      </c>
      <c r="F244" s="70" t="s">
        <v>2258</v>
      </c>
      <c r="G244" s="63"/>
      <c r="H244" s="26"/>
      <c r="I244" s="66"/>
      <c r="J244" s="67"/>
      <c r="K244" s="67"/>
      <c r="L244" s="67"/>
      <c r="M244" s="67"/>
    </row>
    <row r="245" ht="15.75" customHeight="1">
      <c r="A245" s="71">
        <v>45797.0</v>
      </c>
      <c r="B245" s="29">
        <v>242.0</v>
      </c>
      <c r="C245" s="68" t="s">
        <v>2259</v>
      </c>
      <c r="D245" s="68" t="s">
        <v>2260</v>
      </c>
      <c r="E245" s="69">
        <v>9.0248894E9</v>
      </c>
      <c r="F245" s="70" t="s">
        <v>2261</v>
      </c>
      <c r="G245" s="63"/>
      <c r="H245" s="26"/>
      <c r="I245" s="66"/>
      <c r="J245" s="67"/>
      <c r="K245" s="67"/>
      <c r="L245" s="67"/>
      <c r="M245" s="67"/>
    </row>
    <row r="246" ht="15.75" customHeight="1">
      <c r="A246" s="71">
        <v>45797.0</v>
      </c>
      <c r="B246" s="29">
        <v>243.0</v>
      </c>
      <c r="C246" s="68" t="s">
        <v>2262</v>
      </c>
      <c r="D246" s="68" t="s">
        <v>2263</v>
      </c>
      <c r="E246" s="69">
        <v>8.19218849E9</v>
      </c>
      <c r="F246" s="70" t="s">
        <v>2264</v>
      </c>
      <c r="G246" s="63"/>
      <c r="H246" s="26"/>
      <c r="I246" s="66"/>
      <c r="J246" s="67"/>
      <c r="K246" s="67"/>
      <c r="L246" s="67"/>
      <c r="M246" s="67"/>
    </row>
    <row r="247" ht="15.75" customHeight="1">
      <c r="A247" s="71">
        <v>45797.0</v>
      </c>
      <c r="B247" s="73">
        <v>244.0</v>
      </c>
      <c r="C247" s="68" t="s">
        <v>2265</v>
      </c>
      <c r="D247" s="68" t="s">
        <v>2266</v>
      </c>
      <c r="E247" s="69">
        <v>5.068515352E9</v>
      </c>
      <c r="F247" s="70" t="s">
        <v>2267</v>
      </c>
      <c r="G247" s="63"/>
      <c r="H247" s="26"/>
      <c r="I247" s="66"/>
      <c r="J247" s="67"/>
      <c r="K247" s="67"/>
      <c r="L247" s="67"/>
      <c r="M247" s="67"/>
    </row>
    <row r="248" ht="15.75" customHeight="1">
      <c r="A248" s="71">
        <v>45798.0</v>
      </c>
      <c r="B248" s="29">
        <v>245.0</v>
      </c>
      <c r="C248" s="77" t="s">
        <v>2268</v>
      </c>
      <c r="D248" s="68" t="s">
        <v>2269</v>
      </c>
      <c r="E248" s="69">
        <v>6.135591985E9</v>
      </c>
      <c r="F248" s="70" t="s">
        <v>2270</v>
      </c>
      <c r="G248" s="63"/>
      <c r="H248" s="26"/>
      <c r="I248" s="66"/>
      <c r="J248" s="67"/>
      <c r="K248" s="67"/>
      <c r="L248" s="67"/>
      <c r="M248" s="67"/>
    </row>
    <row r="249" ht="15.75" customHeight="1">
      <c r="A249" s="71">
        <v>45799.0</v>
      </c>
      <c r="B249" s="29">
        <v>246.0</v>
      </c>
      <c r="C249" s="68" t="s">
        <v>2271</v>
      </c>
      <c r="D249" s="68" t="s">
        <v>2272</v>
      </c>
      <c r="E249" s="69">
        <v>3.069610483E9</v>
      </c>
      <c r="F249" s="70" t="s">
        <v>2273</v>
      </c>
      <c r="G249" s="63"/>
      <c r="H249" s="26"/>
      <c r="I249" s="66"/>
      <c r="J249" s="67"/>
      <c r="K249" s="67"/>
      <c r="L249" s="67"/>
      <c r="M249" s="67"/>
    </row>
    <row r="250" ht="15.75" customHeight="1">
      <c r="A250" s="71">
        <v>45799.0</v>
      </c>
      <c r="B250" s="29">
        <v>247.0</v>
      </c>
      <c r="C250" s="68" t="s">
        <v>2274</v>
      </c>
      <c r="D250" s="68" t="s">
        <v>2275</v>
      </c>
      <c r="E250" s="69">
        <v>2.26748871E9</v>
      </c>
      <c r="F250" s="70" t="s">
        <v>2276</v>
      </c>
      <c r="G250" s="63"/>
      <c r="H250" s="26"/>
      <c r="I250" s="66"/>
      <c r="J250" s="67"/>
      <c r="K250" s="67"/>
      <c r="L250" s="67"/>
      <c r="M250" s="67"/>
    </row>
    <row r="251" ht="15.75" customHeight="1">
      <c r="A251" s="71">
        <v>45799.0</v>
      </c>
      <c r="B251" s="29">
        <v>248.0</v>
      </c>
      <c r="C251" s="68" t="s">
        <v>2277</v>
      </c>
      <c r="D251" s="68" t="s">
        <v>2278</v>
      </c>
      <c r="E251" s="69">
        <v>3.062812882E9</v>
      </c>
      <c r="F251" s="70" t="s">
        <v>2279</v>
      </c>
      <c r="G251" s="63"/>
      <c r="H251" s="26"/>
      <c r="I251" s="66"/>
      <c r="J251" s="67"/>
      <c r="K251" s="67"/>
      <c r="L251" s="67"/>
      <c r="M251" s="67"/>
    </row>
    <row r="252" ht="15.75" customHeight="1">
      <c r="A252" s="71">
        <v>45800.0</v>
      </c>
      <c r="B252" s="73">
        <v>249.0</v>
      </c>
      <c r="C252" s="68" t="s">
        <v>2280</v>
      </c>
      <c r="D252" s="68" t="s">
        <v>2281</v>
      </c>
      <c r="E252" s="69">
        <v>4.035484145E9</v>
      </c>
      <c r="F252" s="70" t="s">
        <v>2282</v>
      </c>
      <c r="G252" s="63"/>
      <c r="H252" s="26"/>
      <c r="I252" s="66"/>
      <c r="J252" s="67"/>
      <c r="K252" s="67"/>
      <c r="L252" s="67"/>
      <c r="M252" s="67"/>
    </row>
    <row r="253" ht="15.75" customHeight="1">
      <c r="A253" s="71">
        <v>45800.0</v>
      </c>
      <c r="B253" s="29">
        <v>250.0</v>
      </c>
      <c r="C253" s="68" t="s">
        <v>2283</v>
      </c>
      <c r="D253" s="68" t="s">
        <v>2284</v>
      </c>
      <c r="E253" s="69">
        <v>8.19758181E9</v>
      </c>
      <c r="F253" s="70" t="s">
        <v>2285</v>
      </c>
      <c r="G253" s="63"/>
      <c r="H253" s="26"/>
      <c r="I253" s="66"/>
      <c r="J253" s="67"/>
      <c r="K253" s="67"/>
      <c r="L253" s="67"/>
      <c r="M253" s="67"/>
    </row>
    <row r="254" ht="15.75" customHeight="1">
      <c r="A254" s="71">
        <v>45801.0</v>
      </c>
      <c r="B254" s="29">
        <v>251.0</v>
      </c>
      <c r="C254" s="68" t="s">
        <v>62</v>
      </c>
      <c r="D254" s="68" t="s">
        <v>2286</v>
      </c>
      <c r="E254" s="69">
        <v>2.507302063E9</v>
      </c>
      <c r="F254" s="70" t="s">
        <v>2287</v>
      </c>
      <c r="G254" s="63"/>
      <c r="H254" s="26"/>
      <c r="I254" s="66"/>
      <c r="J254" s="67"/>
      <c r="K254" s="67"/>
      <c r="L254" s="67"/>
      <c r="M254" s="67"/>
    </row>
    <row r="255" ht="15.75" customHeight="1">
      <c r="A255" s="71">
        <v>45801.0</v>
      </c>
      <c r="B255" s="73">
        <v>252.0</v>
      </c>
      <c r="C255" s="68" t="s">
        <v>2288</v>
      </c>
      <c r="D255" s="68" t="s">
        <v>2289</v>
      </c>
      <c r="E255" s="69">
        <v>9.022185989E9</v>
      </c>
      <c r="F255" s="70" t="s">
        <v>2290</v>
      </c>
      <c r="G255" s="63"/>
      <c r="H255" s="26"/>
      <c r="I255" s="66"/>
      <c r="J255" s="67"/>
      <c r="K255" s="67"/>
      <c r="L255" s="67"/>
      <c r="M255" s="67"/>
    </row>
    <row r="256" ht="15.75" customHeight="1">
      <c r="A256" s="71">
        <v>45801.0</v>
      </c>
      <c r="B256" s="29">
        <v>253.0</v>
      </c>
      <c r="C256" s="68" t="s">
        <v>1913</v>
      </c>
      <c r="D256" s="68" t="s">
        <v>90</v>
      </c>
      <c r="E256" s="69">
        <v>9.024047507E9</v>
      </c>
      <c r="F256" s="70" t="s">
        <v>2291</v>
      </c>
      <c r="G256" s="63"/>
      <c r="H256" s="26"/>
      <c r="I256" s="66"/>
      <c r="J256" s="67"/>
      <c r="K256" s="67"/>
      <c r="L256" s="67"/>
      <c r="M256" s="67"/>
    </row>
    <row r="257" ht="15.75" customHeight="1">
      <c r="A257" s="71">
        <v>45801.0</v>
      </c>
      <c r="B257" s="29">
        <v>254.0</v>
      </c>
      <c r="C257" s="68" t="s">
        <v>365</v>
      </c>
      <c r="D257" s="68" t="s">
        <v>2292</v>
      </c>
      <c r="E257" s="69">
        <v>5.199904297E9</v>
      </c>
      <c r="F257" s="70" t="s">
        <v>2293</v>
      </c>
      <c r="G257" s="63"/>
      <c r="H257" s="26"/>
      <c r="I257" s="66"/>
      <c r="J257" s="67"/>
      <c r="K257" s="67"/>
      <c r="L257" s="67"/>
      <c r="M257" s="67"/>
    </row>
    <row r="258" ht="15.75" customHeight="1">
      <c r="A258" s="71">
        <v>45801.0</v>
      </c>
      <c r="B258" s="29">
        <v>255.0</v>
      </c>
      <c r="C258" s="68" t="s">
        <v>2294</v>
      </c>
      <c r="D258" s="68" t="s">
        <v>2295</v>
      </c>
      <c r="E258" s="69">
        <v>9.025650853E9</v>
      </c>
      <c r="F258" s="70" t="s">
        <v>2296</v>
      </c>
      <c r="G258" s="63"/>
      <c r="H258" s="26"/>
      <c r="I258" s="66"/>
      <c r="J258" s="67"/>
      <c r="K258" s="67"/>
      <c r="L258" s="67"/>
      <c r="M258" s="67"/>
    </row>
    <row r="259" ht="15.75" customHeight="1">
      <c r="A259" s="71">
        <v>45802.0</v>
      </c>
      <c r="B259" s="29">
        <v>256.0</v>
      </c>
      <c r="C259" s="68" t="s">
        <v>2297</v>
      </c>
      <c r="D259" s="68" t="s">
        <v>2298</v>
      </c>
      <c r="E259" s="69">
        <v>8.194782949E9</v>
      </c>
      <c r="F259" s="70" t="s">
        <v>2299</v>
      </c>
      <c r="G259" s="63"/>
      <c r="H259" s="26"/>
      <c r="I259" s="66"/>
      <c r="J259" s="67"/>
      <c r="K259" s="67"/>
      <c r="L259" s="67"/>
      <c r="M259" s="67"/>
    </row>
    <row r="260" ht="15.75" customHeight="1">
      <c r="A260" s="71">
        <v>45802.0</v>
      </c>
      <c r="B260" s="73">
        <v>257.0</v>
      </c>
      <c r="C260" s="68" t="s">
        <v>2300</v>
      </c>
      <c r="D260" s="68" t="s">
        <v>99</v>
      </c>
      <c r="E260" s="69">
        <v>5.062699674E9</v>
      </c>
      <c r="F260" s="70" t="s">
        <v>2301</v>
      </c>
      <c r="G260" s="63"/>
      <c r="H260" s="26"/>
      <c r="I260" s="66"/>
      <c r="J260" s="67"/>
      <c r="K260" s="67"/>
      <c r="L260" s="67"/>
      <c r="M260" s="67"/>
    </row>
    <row r="261" ht="15.75" customHeight="1">
      <c r="A261" s="71">
        <v>45802.0</v>
      </c>
      <c r="B261" s="29">
        <v>258.0</v>
      </c>
      <c r="C261" s="68" t="s">
        <v>2101</v>
      </c>
      <c r="D261" s="68" t="s">
        <v>2302</v>
      </c>
      <c r="E261" s="69">
        <v>5.069772272E9</v>
      </c>
      <c r="F261" s="70" t="s">
        <v>2303</v>
      </c>
      <c r="G261" s="63"/>
      <c r="H261" s="26"/>
      <c r="I261" s="66"/>
      <c r="J261" s="67"/>
      <c r="K261" s="67"/>
      <c r="L261" s="67"/>
      <c r="M261" s="67"/>
    </row>
    <row r="262" ht="15.75" customHeight="1">
      <c r="A262" s="71">
        <v>45802.0</v>
      </c>
      <c r="B262" s="29">
        <v>259.0</v>
      </c>
      <c r="C262" s="68" t="s">
        <v>2304</v>
      </c>
      <c r="D262" s="68" t="s">
        <v>2305</v>
      </c>
      <c r="E262" s="69">
        <v>4.312784771E9</v>
      </c>
      <c r="F262" s="70" t="s">
        <v>2306</v>
      </c>
      <c r="G262" s="63"/>
      <c r="H262" s="26"/>
      <c r="I262" s="66"/>
      <c r="J262" s="67"/>
      <c r="K262" s="67"/>
      <c r="L262" s="67"/>
      <c r="M262" s="67"/>
    </row>
    <row r="263" ht="15.75" customHeight="1">
      <c r="A263" s="71">
        <v>45803.0</v>
      </c>
      <c r="B263" s="29">
        <v>260.0</v>
      </c>
      <c r="C263" s="68" t="s">
        <v>1026</v>
      </c>
      <c r="D263" s="68" t="s">
        <v>2307</v>
      </c>
      <c r="E263" s="69">
        <v>9.029960018E9</v>
      </c>
      <c r="F263" s="70" t="s">
        <v>2308</v>
      </c>
      <c r="G263" s="63"/>
      <c r="H263" s="26"/>
      <c r="I263" s="66"/>
      <c r="J263" s="67"/>
      <c r="K263" s="67"/>
      <c r="L263" s="67"/>
      <c r="M263" s="67"/>
    </row>
    <row r="264" ht="15.75" customHeight="1">
      <c r="A264" s="71">
        <v>45803.0</v>
      </c>
      <c r="B264" s="29">
        <v>261.0</v>
      </c>
      <c r="C264" s="68" t="s">
        <v>2309</v>
      </c>
      <c r="D264" s="68" t="s">
        <v>2310</v>
      </c>
      <c r="E264" s="69">
        <v>6.136615822E9</v>
      </c>
      <c r="F264" s="70" t="s">
        <v>2311</v>
      </c>
      <c r="G264" s="63"/>
      <c r="H264" s="26"/>
      <c r="I264" s="66"/>
      <c r="J264" s="67"/>
      <c r="K264" s="67"/>
      <c r="L264" s="67"/>
      <c r="M264" s="67"/>
    </row>
    <row r="265" ht="15.75" customHeight="1">
      <c r="A265" s="71">
        <v>45803.0</v>
      </c>
      <c r="B265" s="73">
        <v>262.0</v>
      </c>
      <c r="C265" s="68" t="s">
        <v>2312</v>
      </c>
      <c r="D265" s="68" t="s">
        <v>1978</v>
      </c>
      <c r="E265" s="69">
        <v>3.065014816E9</v>
      </c>
      <c r="F265" s="70" t="s">
        <v>2313</v>
      </c>
      <c r="G265" s="63"/>
      <c r="H265" s="26"/>
      <c r="I265" s="66"/>
      <c r="J265" s="67"/>
      <c r="K265" s="67"/>
      <c r="L265" s="67"/>
      <c r="M265" s="67"/>
    </row>
    <row r="266" ht="15.75" customHeight="1">
      <c r="A266" s="71">
        <v>45804.0</v>
      </c>
      <c r="B266" s="29">
        <v>263.0</v>
      </c>
      <c r="C266" s="68" t="s">
        <v>2314</v>
      </c>
      <c r="D266" s="68" t="s">
        <v>2315</v>
      </c>
      <c r="E266" s="69">
        <v>6.139218672E9</v>
      </c>
      <c r="F266" s="70" t="s">
        <v>2316</v>
      </c>
      <c r="G266" s="63"/>
      <c r="H266" s="26"/>
      <c r="I266" s="66"/>
      <c r="J266" s="67"/>
      <c r="K266" s="67"/>
      <c r="L266" s="67"/>
      <c r="M266" s="67"/>
    </row>
    <row r="267" ht="15.75" customHeight="1">
      <c r="A267" s="71">
        <v>45804.0</v>
      </c>
      <c r="B267" s="29">
        <v>264.0</v>
      </c>
      <c r="C267" s="68" t="s">
        <v>2317</v>
      </c>
      <c r="D267" s="68" t="s">
        <v>2318</v>
      </c>
      <c r="E267" s="69">
        <v>5.819839966E9</v>
      </c>
      <c r="F267" s="70" t="s">
        <v>2319</v>
      </c>
      <c r="G267" s="63"/>
      <c r="H267" s="26"/>
      <c r="I267" s="66"/>
      <c r="J267" s="67"/>
      <c r="K267" s="67"/>
      <c r="L267" s="67"/>
      <c r="M267" s="67"/>
    </row>
    <row r="268" ht="15.75" customHeight="1">
      <c r="A268" s="71">
        <v>45805.0</v>
      </c>
      <c r="B268" s="73">
        <v>265.0</v>
      </c>
      <c r="C268" s="68" t="s">
        <v>2320</v>
      </c>
      <c r="D268" s="68" t="s">
        <v>2321</v>
      </c>
      <c r="E268" s="69">
        <v>2.043046546E9</v>
      </c>
      <c r="F268" s="70" t="s">
        <v>2322</v>
      </c>
      <c r="G268" s="63"/>
      <c r="H268" s="26"/>
      <c r="I268" s="66"/>
      <c r="J268" s="67"/>
      <c r="K268" s="67"/>
      <c r="L268" s="67"/>
      <c r="M268" s="67"/>
    </row>
    <row r="269" ht="15.75" customHeight="1">
      <c r="A269" s="71">
        <v>45805.0</v>
      </c>
      <c r="B269" s="29">
        <v>266.0</v>
      </c>
      <c r="C269" s="68" t="s">
        <v>1029</v>
      </c>
      <c r="D269" s="68" t="s">
        <v>2323</v>
      </c>
      <c r="E269" s="69">
        <v>4.033574421E9</v>
      </c>
      <c r="F269" s="70" t="s">
        <v>2324</v>
      </c>
      <c r="G269" s="63"/>
      <c r="H269" s="26"/>
      <c r="I269" s="66"/>
      <c r="J269" s="67"/>
      <c r="K269" s="67"/>
      <c r="L269" s="67"/>
      <c r="M269" s="67"/>
    </row>
    <row r="270" ht="15.75" customHeight="1">
      <c r="A270" s="71">
        <v>45806.0</v>
      </c>
      <c r="B270" s="29">
        <v>267.0</v>
      </c>
      <c r="C270" s="68" t="s">
        <v>2325</v>
      </c>
      <c r="D270" s="68" t="s">
        <v>2326</v>
      </c>
      <c r="E270" s="69">
        <v>5.06626204E9</v>
      </c>
      <c r="F270" s="70" t="s">
        <v>2327</v>
      </c>
      <c r="G270" s="63"/>
      <c r="H270" s="26"/>
      <c r="I270" s="66"/>
      <c r="J270" s="67"/>
      <c r="K270" s="67"/>
      <c r="L270" s="67"/>
      <c r="M270" s="67"/>
    </row>
    <row r="271" ht="15.75" customHeight="1">
      <c r="A271" s="71">
        <v>45806.0</v>
      </c>
      <c r="B271" s="29">
        <v>268.0</v>
      </c>
      <c r="C271" s="68" t="s">
        <v>2328</v>
      </c>
      <c r="D271" s="68" t="s">
        <v>2329</v>
      </c>
      <c r="E271" s="69">
        <v>3.068501125E9</v>
      </c>
      <c r="F271" s="70" t="s">
        <v>2330</v>
      </c>
      <c r="G271" s="63"/>
      <c r="H271" s="26"/>
      <c r="I271" s="66"/>
      <c r="J271" s="67"/>
      <c r="K271" s="67"/>
      <c r="L271" s="67"/>
      <c r="M271" s="67"/>
    </row>
    <row r="272" ht="15.75" customHeight="1">
      <c r="A272" s="71">
        <v>45806.0</v>
      </c>
      <c r="B272" s="29">
        <v>269.0</v>
      </c>
      <c r="C272" s="68" t="s">
        <v>2331</v>
      </c>
      <c r="D272" s="68" t="s">
        <v>2332</v>
      </c>
      <c r="E272" s="69">
        <v>5.066087049E9</v>
      </c>
      <c r="F272" s="70" t="s">
        <v>2333</v>
      </c>
      <c r="G272" s="63"/>
      <c r="H272" s="26"/>
      <c r="I272" s="66"/>
      <c r="J272" s="67"/>
      <c r="K272" s="67"/>
      <c r="L272" s="67"/>
      <c r="M272" s="67"/>
    </row>
    <row r="273" ht="15.75" customHeight="1">
      <c r="A273" s="71">
        <v>45807.0</v>
      </c>
      <c r="B273" s="73">
        <v>270.0</v>
      </c>
      <c r="C273" s="68" t="s">
        <v>1995</v>
      </c>
      <c r="D273" s="68" t="s">
        <v>2334</v>
      </c>
      <c r="E273" s="69">
        <v>7.806809039E9</v>
      </c>
      <c r="F273" s="70" t="s">
        <v>2335</v>
      </c>
      <c r="G273" s="63"/>
      <c r="H273" s="26"/>
      <c r="I273" s="66"/>
      <c r="J273" s="67"/>
      <c r="K273" s="67"/>
      <c r="L273" s="67"/>
      <c r="M273" s="67"/>
    </row>
    <row r="274" ht="15.75" customHeight="1">
      <c r="A274" s="71">
        <v>45807.0</v>
      </c>
      <c r="B274" s="29">
        <v>271.0</v>
      </c>
      <c r="C274" s="68" t="s">
        <v>1229</v>
      </c>
      <c r="D274" s="68" t="s">
        <v>2336</v>
      </c>
      <c r="E274" s="69">
        <v>7.803407114E9</v>
      </c>
      <c r="F274" s="70" t="s">
        <v>2337</v>
      </c>
      <c r="G274" s="63"/>
      <c r="H274" s="26"/>
      <c r="I274" s="66"/>
      <c r="J274" s="67"/>
      <c r="K274" s="67"/>
      <c r="L274" s="67"/>
      <c r="M274" s="67"/>
    </row>
    <row r="275" ht="15.75" customHeight="1">
      <c r="A275" s="71">
        <v>45808.0</v>
      </c>
      <c r="B275" s="29">
        <v>272.0</v>
      </c>
      <c r="C275" s="68" t="s">
        <v>2338</v>
      </c>
      <c r="D275" s="68" t="s">
        <v>2339</v>
      </c>
      <c r="E275" s="69">
        <v>8.195272015E9</v>
      </c>
      <c r="F275" s="70" t="s">
        <v>2340</v>
      </c>
      <c r="G275" s="63"/>
      <c r="H275" s="26"/>
      <c r="I275" s="66"/>
      <c r="J275" s="67"/>
      <c r="K275" s="67"/>
      <c r="L275" s="67"/>
      <c r="M275" s="67"/>
    </row>
    <row r="276" ht="15.75" customHeight="1">
      <c r="A276" s="71">
        <v>45809.0</v>
      </c>
      <c r="B276" s="29">
        <v>273.0</v>
      </c>
      <c r="C276" s="68" t="s">
        <v>2341</v>
      </c>
      <c r="D276" s="68" t="s">
        <v>2342</v>
      </c>
      <c r="E276" s="69">
        <v>7.808074397E9</v>
      </c>
      <c r="F276" s="70" t="s">
        <v>2343</v>
      </c>
      <c r="G276" s="63"/>
      <c r="H276" s="26"/>
      <c r="I276" s="66"/>
      <c r="J276" s="67"/>
      <c r="K276" s="67"/>
      <c r="L276" s="67"/>
      <c r="M276" s="67"/>
    </row>
    <row r="277" ht="15.75" customHeight="1">
      <c r="A277" s="71">
        <v>45809.0</v>
      </c>
      <c r="B277" s="29">
        <v>274.0</v>
      </c>
      <c r="C277" s="68" t="s">
        <v>2344</v>
      </c>
      <c r="D277" s="68" t="s">
        <v>2345</v>
      </c>
      <c r="E277" s="69">
        <v>6.395909775E9</v>
      </c>
      <c r="F277" s="70" t="s">
        <v>2346</v>
      </c>
      <c r="G277" s="63"/>
      <c r="H277" s="26"/>
      <c r="I277" s="66"/>
      <c r="J277" s="67"/>
      <c r="K277" s="67"/>
      <c r="L277" s="67"/>
      <c r="M277" s="67"/>
    </row>
    <row r="278" ht="15.75" customHeight="1">
      <c r="A278" s="71">
        <v>45810.0</v>
      </c>
      <c r="B278" s="73">
        <v>275.0</v>
      </c>
      <c r="C278" s="68" t="s">
        <v>1995</v>
      </c>
      <c r="D278" s="68" t="s">
        <v>2347</v>
      </c>
      <c r="E278" s="69">
        <v>2.265064582E9</v>
      </c>
      <c r="F278" s="70" t="s">
        <v>2348</v>
      </c>
      <c r="G278" s="63"/>
      <c r="H278" s="26"/>
      <c r="I278" s="66"/>
      <c r="J278" s="67"/>
      <c r="K278" s="67"/>
      <c r="L278" s="67"/>
      <c r="M278" s="67"/>
    </row>
    <row r="279" ht="15.75" customHeight="1">
      <c r="A279" s="71">
        <v>45810.0</v>
      </c>
      <c r="B279" s="29">
        <v>276.0</v>
      </c>
      <c r="C279" s="68" t="s">
        <v>2349</v>
      </c>
      <c r="D279" s="68" t="s">
        <v>2350</v>
      </c>
      <c r="E279" s="69">
        <v>3.062914828E9</v>
      </c>
      <c r="F279" s="70" t="s">
        <v>2351</v>
      </c>
      <c r="G279" s="63"/>
      <c r="H279" s="26"/>
      <c r="I279" s="66"/>
      <c r="J279" s="67"/>
      <c r="K279" s="67"/>
      <c r="L279" s="67"/>
      <c r="M279" s="67"/>
    </row>
    <row r="280" ht="15.75" customHeight="1">
      <c r="A280" s="71">
        <v>45810.0</v>
      </c>
      <c r="B280" s="29">
        <v>277.0</v>
      </c>
      <c r="C280" s="68" t="s">
        <v>2352</v>
      </c>
      <c r="D280" s="68" t="s">
        <v>2353</v>
      </c>
      <c r="E280" s="69">
        <v>6.132071856E9</v>
      </c>
      <c r="F280" s="70" t="s">
        <v>2354</v>
      </c>
      <c r="G280" s="63"/>
      <c r="H280" s="26"/>
      <c r="I280" s="66"/>
      <c r="J280" s="67"/>
      <c r="K280" s="67"/>
      <c r="L280" s="67"/>
      <c r="M280" s="67"/>
    </row>
    <row r="281" ht="15.75" customHeight="1">
      <c r="A281" s="71">
        <v>45810.0</v>
      </c>
      <c r="B281" s="73">
        <v>278.0</v>
      </c>
      <c r="C281" s="68" t="s">
        <v>2328</v>
      </c>
      <c r="D281" s="68" t="s">
        <v>2355</v>
      </c>
      <c r="E281" s="69">
        <v>7.802712408E9</v>
      </c>
      <c r="F281" s="70" t="s">
        <v>2356</v>
      </c>
      <c r="G281" s="63"/>
      <c r="H281" s="26"/>
      <c r="I281" s="66"/>
      <c r="J281" s="67"/>
      <c r="K281" s="67"/>
      <c r="L281" s="67"/>
      <c r="M281" s="67"/>
    </row>
    <row r="282" ht="15.75" customHeight="1">
      <c r="A282" s="71">
        <v>45810.0</v>
      </c>
      <c r="B282" s="29">
        <v>279.0</v>
      </c>
      <c r="C282" s="68" t="s">
        <v>2357</v>
      </c>
      <c r="D282" s="68" t="s">
        <v>2358</v>
      </c>
      <c r="E282" s="69">
        <v>3.065018741E9</v>
      </c>
      <c r="F282" s="70" t="s">
        <v>2359</v>
      </c>
      <c r="G282" s="63"/>
      <c r="H282" s="26"/>
      <c r="I282" s="66"/>
      <c r="J282" s="67"/>
      <c r="K282" s="67"/>
      <c r="L282" s="67"/>
      <c r="M282" s="67"/>
    </row>
    <row r="283" ht="15.75" customHeight="1">
      <c r="A283" s="71">
        <v>45810.0</v>
      </c>
      <c r="B283" s="29">
        <v>280.0</v>
      </c>
      <c r="C283" s="68" t="s">
        <v>2360</v>
      </c>
      <c r="D283" s="68" t="s">
        <v>2361</v>
      </c>
      <c r="E283" s="69">
        <v>5.06227341E9</v>
      </c>
      <c r="F283" s="70" t="s">
        <v>2362</v>
      </c>
      <c r="G283" s="63"/>
      <c r="H283" s="26"/>
      <c r="I283" s="66"/>
      <c r="J283" s="67"/>
      <c r="K283" s="67"/>
      <c r="L283" s="67"/>
      <c r="M283" s="67"/>
    </row>
    <row r="284" ht="15.75" customHeight="1">
      <c r="A284" s="71">
        <v>45811.0</v>
      </c>
      <c r="B284" s="29">
        <v>281.0</v>
      </c>
      <c r="C284" s="68" t="s">
        <v>2363</v>
      </c>
      <c r="D284" s="68" t="s">
        <v>2364</v>
      </c>
      <c r="E284" s="69">
        <v>9.028779783E9</v>
      </c>
      <c r="F284" s="70" t="s">
        <v>2365</v>
      </c>
      <c r="G284" s="63"/>
      <c r="H284" s="26"/>
      <c r="I284" s="66"/>
      <c r="J284" s="67"/>
      <c r="K284" s="67"/>
      <c r="L284" s="67"/>
      <c r="M284" s="67"/>
    </row>
    <row r="285" ht="15.75" customHeight="1">
      <c r="A285" s="71">
        <v>45812.0</v>
      </c>
      <c r="B285" s="29">
        <v>282.0</v>
      </c>
      <c r="C285" s="68" t="s">
        <v>2366</v>
      </c>
      <c r="D285" s="68" t="s">
        <v>2367</v>
      </c>
      <c r="E285" s="69">
        <v>5.066513411E9</v>
      </c>
      <c r="F285" s="70" t="s">
        <v>2368</v>
      </c>
      <c r="G285" s="63"/>
      <c r="H285" s="26"/>
      <c r="I285" s="66"/>
      <c r="J285" s="67"/>
      <c r="K285" s="67"/>
      <c r="L285" s="67"/>
      <c r="M285" s="67"/>
    </row>
    <row r="286" ht="15.75" customHeight="1">
      <c r="A286" s="71">
        <v>45812.0</v>
      </c>
      <c r="B286" s="29">
        <v>283.0</v>
      </c>
      <c r="C286" s="68" t="s">
        <v>2369</v>
      </c>
      <c r="D286" s="68" t="s">
        <v>2370</v>
      </c>
      <c r="E286" s="69">
        <v>2.04891183E9</v>
      </c>
      <c r="F286" s="70" t="s">
        <v>2371</v>
      </c>
      <c r="G286" s="63"/>
      <c r="H286" s="26"/>
      <c r="I286" s="66"/>
      <c r="J286" s="67"/>
      <c r="K286" s="67"/>
      <c r="L286" s="67"/>
      <c r="M286" s="67"/>
    </row>
    <row r="287" ht="15.75" customHeight="1">
      <c r="A287" s="71">
        <v>45812.0</v>
      </c>
      <c r="B287" s="29">
        <v>284.0</v>
      </c>
      <c r="C287" s="68" t="s">
        <v>2372</v>
      </c>
      <c r="D287" s="68" t="s">
        <v>2373</v>
      </c>
      <c r="E287" s="69">
        <v>4.035806403E9</v>
      </c>
      <c r="F287" s="70" t="s">
        <v>2374</v>
      </c>
      <c r="G287" s="63"/>
      <c r="H287" s="26"/>
      <c r="I287" s="66"/>
      <c r="J287" s="67"/>
      <c r="K287" s="67"/>
      <c r="L287" s="67"/>
      <c r="M287" s="67"/>
    </row>
    <row r="288" ht="15.75" customHeight="1">
      <c r="A288" s="71">
        <v>45812.0</v>
      </c>
      <c r="B288" s="73">
        <v>285.0</v>
      </c>
      <c r="C288" s="68" t="s">
        <v>2375</v>
      </c>
      <c r="D288" s="68" t="s">
        <v>2376</v>
      </c>
      <c r="E288" s="69">
        <v>3.063711039E9</v>
      </c>
      <c r="F288" s="70" t="s">
        <v>2377</v>
      </c>
      <c r="G288" s="63"/>
      <c r="H288" s="26"/>
      <c r="I288" s="66"/>
      <c r="J288" s="67"/>
      <c r="K288" s="67"/>
      <c r="L288" s="67"/>
      <c r="M288" s="67"/>
    </row>
    <row r="289" ht="15.75" customHeight="1">
      <c r="A289" s="71">
        <v>45813.0</v>
      </c>
      <c r="B289" s="29">
        <v>286.0</v>
      </c>
      <c r="C289" s="68" t="s">
        <v>2378</v>
      </c>
      <c r="D289" s="68" t="s">
        <v>2379</v>
      </c>
      <c r="E289" s="69">
        <v>7.808001364E9</v>
      </c>
      <c r="F289" s="70" t="s">
        <v>2380</v>
      </c>
      <c r="G289" s="63"/>
      <c r="H289" s="26"/>
      <c r="I289" s="66"/>
      <c r="J289" s="67"/>
      <c r="K289" s="67"/>
      <c r="L289" s="67"/>
      <c r="M289" s="67"/>
    </row>
    <row r="290" ht="15.75" customHeight="1">
      <c r="A290" s="71">
        <v>45815.0</v>
      </c>
      <c r="B290" s="29">
        <v>287.0</v>
      </c>
      <c r="C290" s="68" t="s">
        <v>2381</v>
      </c>
      <c r="D290" s="68" t="s">
        <v>2382</v>
      </c>
      <c r="E290" s="69">
        <v>6.133717723E9</v>
      </c>
      <c r="F290" s="75" t="s">
        <v>2383</v>
      </c>
      <c r="G290" s="63"/>
      <c r="H290" s="26"/>
      <c r="I290" s="66"/>
      <c r="J290" s="67"/>
      <c r="K290" s="67"/>
      <c r="L290" s="67"/>
      <c r="M290" s="67"/>
    </row>
    <row r="291" ht="15.75" customHeight="1">
      <c r="A291" s="71">
        <v>45815.0</v>
      </c>
      <c r="B291" s="29">
        <v>288.0</v>
      </c>
      <c r="C291" s="68" t="s">
        <v>2384</v>
      </c>
      <c r="D291" s="68" t="s">
        <v>2385</v>
      </c>
      <c r="E291" s="69">
        <v>4.379974426E9</v>
      </c>
      <c r="F291" s="70" t="s">
        <v>2386</v>
      </c>
      <c r="G291" s="63"/>
      <c r="H291" s="26"/>
      <c r="I291" s="66"/>
      <c r="J291" s="67"/>
      <c r="K291" s="67"/>
      <c r="L291" s="67"/>
      <c r="M291" s="67"/>
    </row>
    <row r="292" ht="15.75" customHeight="1">
      <c r="A292" s="71">
        <v>45817.0</v>
      </c>
      <c r="B292" s="29">
        <v>289.0</v>
      </c>
      <c r="C292" s="68" t="s">
        <v>2387</v>
      </c>
      <c r="D292" s="68" t="s">
        <v>2388</v>
      </c>
      <c r="E292" s="69">
        <v>5.19300263E9</v>
      </c>
      <c r="F292" s="70" t="s">
        <v>2389</v>
      </c>
      <c r="G292" s="63"/>
      <c r="H292" s="26"/>
      <c r="I292" s="66"/>
      <c r="J292" s="67"/>
      <c r="K292" s="67"/>
      <c r="L292" s="67"/>
      <c r="M292" s="67"/>
    </row>
    <row r="293" ht="15.75" customHeight="1">
      <c r="A293" s="71">
        <v>45817.0</v>
      </c>
      <c r="B293" s="29">
        <v>290.0</v>
      </c>
      <c r="C293" s="68" t="s">
        <v>2390</v>
      </c>
      <c r="D293" s="68" t="s">
        <v>2230</v>
      </c>
      <c r="E293" s="69">
        <v>4.313235911E9</v>
      </c>
      <c r="F293" s="70" t="s">
        <v>2391</v>
      </c>
      <c r="G293" s="63"/>
      <c r="H293" s="26"/>
      <c r="I293" s="66"/>
      <c r="J293" s="67"/>
      <c r="K293" s="67"/>
      <c r="L293" s="67"/>
      <c r="M293" s="67"/>
    </row>
    <row r="294" ht="15.75" customHeight="1">
      <c r="A294" s="71">
        <v>45818.0</v>
      </c>
      <c r="B294" s="29">
        <v>291.0</v>
      </c>
      <c r="C294" s="68" t="s">
        <v>2392</v>
      </c>
      <c r="D294" s="68" t="s">
        <v>2393</v>
      </c>
      <c r="E294" s="69">
        <v>5.149273767E9</v>
      </c>
      <c r="F294" s="70" t="s">
        <v>2394</v>
      </c>
      <c r="G294" s="63"/>
      <c r="H294" s="26"/>
      <c r="I294" s="66"/>
      <c r="J294" s="67"/>
      <c r="K294" s="67"/>
      <c r="L294" s="67"/>
      <c r="M294" s="67"/>
    </row>
    <row r="295" ht="15.75" customHeight="1">
      <c r="A295" s="71">
        <v>45818.0</v>
      </c>
      <c r="B295" s="73">
        <v>292.0</v>
      </c>
      <c r="C295" s="68" t="s">
        <v>2395</v>
      </c>
      <c r="D295" s="68" t="s">
        <v>2396</v>
      </c>
      <c r="E295" s="69">
        <v>9.023652852E9</v>
      </c>
      <c r="F295" s="70" t="s">
        <v>2397</v>
      </c>
      <c r="G295" s="63"/>
      <c r="H295" s="26"/>
      <c r="I295" s="66"/>
      <c r="J295" s="67"/>
      <c r="K295" s="67"/>
      <c r="L295" s="67"/>
      <c r="M295" s="67"/>
    </row>
    <row r="296" ht="15.75" customHeight="1">
      <c r="A296" s="71">
        <v>45818.0</v>
      </c>
      <c r="B296" s="29">
        <v>293.0</v>
      </c>
      <c r="C296" s="68" t="s">
        <v>2398</v>
      </c>
      <c r="D296" s="68" t="s">
        <v>2390</v>
      </c>
      <c r="E296" s="69">
        <v>4.37985305E9</v>
      </c>
      <c r="F296" s="70" t="s">
        <v>2399</v>
      </c>
      <c r="G296" s="63"/>
      <c r="H296" s="26"/>
      <c r="I296" s="66"/>
      <c r="J296" s="67"/>
      <c r="K296" s="67"/>
      <c r="L296" s="67"/>
      <c r="M296" s="67"/>
    </row>
    <row r="297" ht="15.75" customHeight="1">
      <c r="A297" s="71">
        <v>45818.0</v>
      </c>
      <c r="B297" s="29">
        <v>294.0</v>
      </c>
      <c r="C297" s="68" t="s">
        <v>1198</v>
      </c>
      <c r="D297" s="68" t="s">
        <v>2400</v>
      </c>
      <c r="E297" s="69">
        <v>5.063806193E9</v>
      </c>
      <c r="F297" s="70" t="s">
        <v>2401</v>
      </c>
      <c r="G297" s="63"/>
      <c r="H297" s="26"/>
      <c r="I297" s="66"/>
      <c r="J297" s="67"/>
      <c r="K297" s="67"/>
      <c r="L297" s="67"/>
      <c r="M297" s="67"/>
    </row>
    <row r="298" ht="15.75" customHeight="1">
      <c r="A298" s="71">
        <v>45819.0</v>
      </c>
      <c r="B298" s="29">
        <v>295.0</v>
      </c>
      <c r="C298" s="68" t="s">
        <v>2402</v>
      </c>
      <c r="D298" s="68" t="s">
        <v>1339</v>
      </c>
      <c r="E298" s="69">
        <v>5.069552558E9</v>
      </c>
      <c r="F298" s="70" t="s">
        <v>2403</v>
      </c>
      <c r="G298" s="63"/>
      <c r="H298" s="26"/>
      <c r="I298" s="66"/>
      <c r="J298" s="67"/>
      <c r="K298" s="67"/>
      <c r="L298" s="67"/>
      <c r="M298" s="67"/>
    </row>
    <row r="299" ht="15.75" customHeight="1">
      <c r="A299" s="71">
        <v>45819.0</v>
      </c>
      <c r="B299" s="29">
        <v>296.0</v>
      </c>
      <c r="C299" s="68" t="s">
        <v>2404</v>
      </c>
      <c r="D299" s="68" t="s">
        <v>2405</v>
      </c>
      <c r="E299" s="69">
        <v>5.816731936E9</v>
      </c>
      <c r="F299" s="70" t="s">
        <v>2406</v>
      </c>
      <c r="G299" s="63"/>
      <c r="H299" s="26"/>
      <c r="I299" s="66"/>
      <c r="J299" s="67"/>
      <c r="K299" s="67"/>
      <c r="L299" s="67"/>
      <c r="M299" s="67"/>
    </row>
    <row r="300" ht="15.75" customHeight="1">
      <c r="A300" s="71">
        <v>45819.0</v>
      </c>
      <c r="B300" s="73">
        <v>297.0</v>
      </c>
      <c r="C300" s="68" t="s">
        <v>2407</v>
      </c>
      <c r="D300" s="68" t="s">
        <v>2408</v>
      </c>
      <c r="E300" s="69">
        <v>2.049816608E9</v>
      </c>
      <c r="F300" s="70" t="s">
        <v>2409</v>
      </c>
      <c r="G300" s="63"/>
      <c r="H300" s="26"/>
      <c r="I300" s="66"/>
      <c r="J300" s="67"/>
      <c r="K300" s="67"/>
      <c r="L300" s="67"/>
      <c r="M300" s="67"/>
    </row>
    <row r="301" ht="15.75" customHeight="1">
      <c r="A301" s="71">
        <v>45819.0</v>
      </c>
      <c r="B301" s="29">
        <v>298.0</v>
      </c>
      <c r="C301" s="68" t="s">
        <v>2410</v>
      </c>
      <c r="D301" s="68" t="s">
        <v>2411</v>
      </c>
      <c r="E301" s="69">
        <v>4.312620125E9</v>
      </c>
      <c r="F301" s="70" t="s">
        <v>2412</v>
      </c>
      <c r="G301" s="63"/>
      <c r="H301" s="26"/>
      <c r="I301" s="66"/>
      <c r="J301" s="67"/>
      <c r="K301" s="67"/>
      <c r="L301" s="67"/>
      <c r="M301" s="67"/>
    </row>
    <row r="302" ht="15.75" customHeight="1">
      <c r="A302" s="71">
        <v>45819.0</v>
      </c>
      <c r="B302" s="73">
        <v>299.0</v>
      </c>
      <c r="C302" s="68" t="s">
        <v>2413</v>
      </c>
      <c r="D302" s="68" t="s">
        <v>2414</v>
      </c>
      <c r="E302" s="69">
        <v>9.022664893E9</v>
      </c>
      <c r="F302" s="70" t="s">
        <v>2415</v>
      </c>
      <c r="G302" s="63"/>
      <c r="H302" s="26"/>
      <c r="I302" s="66"/>
      <c r="J302" s="67"/>
      <c r="K302" s="67"/>
      <c r="L302" s="67"/>
      <c r="M302" s="67"/>
    </row>
    <row r="303" ht="15.75" customHeight="1">
      <c r="A303" s="71">
        <v>45819.0</v>
      </c>
      <c r="B303" s="29">
        <v>300.0</v>
      </c>
      <c r="C303" s="68" t="s">
        <v>74</v>
      </c>
      <c r="D303" s="68" t="s">
        <v>2416</v>
      </c>
      <c r="E303" s="69">
        <v>4.038269307E9</v>
      </c>
      <c r="F303" s="70" t="s">
        <v>2417</v>
      </c>
      <c r="G303" s="63"/>
      <c r="H303" s="26"/>
      <c r="I303" s="66"/>
      <c r="J303" s="67"/>
      <c r="K303" s="67"/>
      <c r="L303" s="67"/>
      <c r="M303" s="67"/>
    </row>
    <row r="304" ht="15.75" customHeight="1">
      <c r="A304" s="71">
        <v>45819.0</v>
      </c>
      <c r="B304" s="29">
        <v>301.0</v>
      </c>
      <c r="C304" s="68" t="s">
        <v>2418</v>
      </c>
      <c r="D304" s="68" t="s">
        <v>2419</v>
      </c>
      <c r="E304" s="69">
        <v>4.313716645E9</v>
      </c>
      <c r="F304" s="70" t="s">
        <v>2420</v>
      </c>
      <c r="G304" s="63"/>
      <c r="H304" s="26"/>
      <c r="I304" s="66"/>
      <c r="J304" s="67"/>
      <c r="K304" s="67"/>
      <c r="L304" s="67"/>
      <c r="M304" s="67"/>
    </row>
    <row r="305" ht="15.75" customHeight="1">
      <c r="A305" s="71">
        <v>45819.0</v>
      </c>
      <c r="B305" s="29">
        <v>302.0</v>
      </c>
      <c r="C305" s="68" t="s">
        <v>2421</v>
      </c>
      <c r="D305" s="68" t="s">
        <v>2422</v>
      </c>
      <c r="E305" s="69">
        <v>3.065317224E9</v>
      </c>
      <c r="F305" s="70" t="s">
        <v>2423</v>
      </c>
      <c r="G305" s="63"/>
      <c r="H305" s="26"/>
      <c r="I305" s="66"/>
      <c r="J305" s="67"/>
      <c r="K305" s="67"/>
      <c r="L305" s="67"/>
      <c r="M305" s="67"/>
    </row>
    <row r="306" ht="15.75" customHeight="1">
      <c r="A306" s="71">
        <v>45820.0</v>
      </c>
      <c r="B306" s="29">
        <v>303.0</v>
      </c>
      <c r="C306" s="68" t="s">
        <v>2424</v>
      </c>
      <c r="D306" s="68" t="s">
        <v>2425</v>
      </c>
      <c r="E306" s="69">
        <v>2.04801114E9</v>
      </c>
      <c r="F306" s="70" t="s">
        <v>2426</v>
      </c>
      <c r="G306" s="63"/>
      <c r="H306" s="26"/>
      <c r="I306" s="66"/>
      <c r="J306" s="67"/>
      <c r="K306" s="67"/>
      <c r="L306" s="67"/>
      <c r="M306" s="67"/>
    </row>
    <row r="307" ht="15.75" customHeight="1">
      <c r="A307" s="71">
        <v>45820.0</v>
      </c>
      <c r="B307" s="73">
        <v>304.0</v>
      </c>
      <c r="C307" s="68" t="s">
        <v>2427</v>
      </c>
      <c r="D307" s="68" t="s">
        <v>2428</v>
      </c>
      <c r="E307" s="69">
        <v>3.063141181E9</v>
      </c>
      <c r="F307" s="70" t="s">
        <v>2429</v>
      </c>
      <c r="G307" s="63"/>
      <c r="H307" s="26"/>
      <c r="I307" s="66"/>
      <c r="J307" s="67"/>
      <c r="K307" s="67"/>
      <c r="L307" s="67"/>
      <c r="M307" s="67"/>
    </row>
    <row r="308" ht="15.75" customHeight="1">
      <c r="A308" s="71">
        <v>45820.0</v>
      </c>
      <c r="B308" s="29">
        <v>305.0</v>
      </c>
      <c r="C308" s="68" t="s">
        <v>2194</v>
      </c>
      <c r="D308" s="68" t="s">
        <v>2430</v>
      </c>
      <c r="E308" s="69">
        <v>4.312410189E9</v>
      </c>
      <c r="F308" s="70" t="s">
        <v>2431</v>
      </c>
      <c r="G308" s="63"/>
      <c r="H308" s="26"/>
      <c r="I308" s="66"/>
      <c r="J308" s="67"/>
      <c r="K308" s="67"/>
      <c r="L308" s="67"/>
      <c r="M308" s="67"/>
    </row>
    <row r="309" ht="15.75" customHeight="1">
      <c r="A309" s="71">
        <v>45820.0</v>
      </c>
      <c r="B309" s="29">
        <v>306.0</v>
      </c>
      <c r="C309" s="68" t="s">
        <v>2059</v>
      </c>
      <c r="D309" s="68" t="s">
        <v>2432</v>
      </c>
      <c r="E309" s="69">
        <v>5.06740014E9</v>
      </c>
      <c r="F309" s="70" t="s">
        <v>2433</v>
      </c>
      <c r="G309" s="63"/>
      <c r="H309" s="26"/>
      <c r="I309" s="66"/>
      <c r="J309" s="67"/>
      <c r="K309" s="67"/>
      <c r="L309" s="67"/>
      <c r="M309" s="67"/>
    </row>
    <row r="310" ht="15.75" customHeight="1">
      <c r="A310" s="71">
        <v>45821.0</v>
      </c>
      <c r="B310" s="29">
        <v>307.0</v>
      </c>
      <c r="C310" s="68" t="s">
        <v>2434</v>
      </c>
      <c r="D310" s="68" t="s">
        <v>2435</v>
      </c>
      <c r="E310" s="69">
        <v>7.058224452E9</v>
      </c>
      <c r="F310" s="70" t="s">
        <v>2436</v>
      </c>
      <c r="G310" s="63"/>
      <c r="H310" s="26"/>
      <c r="I310" s="66"/>
    </row>
    <row r="311" ht="15.75" customHeight="1">
      <c r="A311" s="71">
        <v>45821.0</v>
      </c>
      <c r="B311" s="29">
        <v>308.0</v>
      </c>
      <c r="C311" s="68" t="s">
        <v>1836</v>
      </c>
      <c r="D311" s="68" t="s">
        <v>2286</v>
      </c>
      <c r="E311" s="69">
        <v>4.313710099E9</v>
      </c>
      <c r="F311" s="70" t="s">
        <v>2437</v>
      </c>
      <c r="G311" s="63"/>
      <c r="H311" s="26"/>
      <c r="I311" s="66"/>
    </row>
    <row r="312" ht="15.75" customHeight="1">
      <c r="A312" s="71">
        <v>45821.0</v>
      </c>
      <c r="B312" s="73">
        <v>309.0</v>
      </c>
      <c r="C312" s="68" t="s">
        <v>1931</v>
      </c>
      <c r="D312" s="68" t="s">
        <v>2438</v>
      </c>
      <c r="E312" s="69">
        <v>9.024614362E9</v>
      </c>
      <c r="F312" s="70" t="s">
        <v>2439</v>
      </c>
      <c r="G312" s="63"/>
      <c r="H312" s="26"/>
      <c r="I312" s="66"/>
    </row>
    <row r="313" ht="15.75" customHeight="1">
      <c r="A313" s="71">
        <v>45821.0</v>
      </c>
      <c r="B313" s="29">
        <v>310.0</v>
      </c>
      <c r="C313" s="68" t="s">
        <v>2440</v>
      </c>
      <c r="D313" s="68" t="s">
        <v>2441</v>
      </c>
      <c r="E313" s="69">
        <v>3.062606355E9</v>
      </c>
      <c r="F313" s="70" t="s">
        <v>2442</v>
      </c>
      <c r="G313" s="63"/>
      <c r="H313" s="26"/>
      <c r="I313" s="66"/>
    </row>
    <row r="314" ht="15.75" customHeight="1">
      <c r="A314" s="71">
        <v>45821.0</v>
      </c>
      <c r="B314" s="29">
        <v>311.0</v>
      </c>
      <c r="C314" s="68" t="s">
        <v>2443</v>
      </c>
      <c r="D314" s="68" t="s">
        <v>110</v>
      </c>
      <c r="E314" s="69">
        <v>5.197845091E9</v>
      </c>
      <c r="F314" s="70" t="s">
        <v>2444</v>
      </c>
      <c r="G314" s="63"/>
      <c r="H314" s="26"/>
      <c r="I314" s="66"/>
    </row>
    <row r="315" ht="15.75" customHeight="1">
      <c r="A315" s="71">
        <v>45822.0</v>
      </c>
      <c r="B315" s="29">
        <v>312.0</v>
      </c>
      <c r="C315" s="68" t="s">
        <v>2387</v>
      </c>
      <c r="D315" s="68" t="s">
        <v>2445</v>
      </c>
      <c r="E315" s="69">
        <v>7.808952545E9</v>
      </c>
      <c r="F315" s="70" t="s">
        <v>2446</v>
      </c>
      <c r="G315" s="63"/>
      <c r="H315" s="26"/>
      <c r="I315" s="66"/>
    </row>
    <row r="316" ht="15.75" customHeight="1">
      <c r="A316" s="71">
        <v>45822.0</v>
      </c>
      <c r="B316" s="29">
        <v>313.0</v>
      </c>
      <c r="C316" s="68" t="s">
        <v>433</v>
      </c>
      <c r="D316" s="68" t="s">
        <v>2447</v>
      </c>
      <c r="E316" s="69">
        <v>5.068382712E9</v>
      </c>
      <c r="F316" s="70" t="s">
        <v>2448</v>
      </c>
      <c r="G316" s="63"/>
      <c r="H316" s="26"/>
      <c r="I316" s="66"/>
    </row>
    <row r="317" ht="15.75" customHeight="1">
      <c r="A317" s="71">
        <v>45822.0</v>
      </c>
      <c r="B317" s="73">
        <v>314.0</v>
      </c>
      <c r="C317" s="68" t="s">
        <v>1913</v>
      </c>
      <c r="D317" s="68" t="s">
        <v>2449</v>
      </c>
      <c r="E317" s="69">
        <v>7.80266444E9</v>
      </c>
      <c r="F317" s="70" t="s">
        <v>2450</v>
      </c>
      <c r="G317" s="63"/>
      <c r="H317" s="26"/>
      <c r="I317" s="66"/>
    </row>
    <row r="318" ht="15.75" customHeight="1">
      <c r="A318" s="71">
        <v>45822.0</v>
      </c>
      <c r="B318" s="29">
        <v>315.0</v>
      </c>
      <c r="C318" s="68" t="s">
        <v>2451</v>
      </c>
      <c r="D318" s="68" t="s">
        <v>2452</v>
      </c>
      <c r="E318" s="69">
        <v>2.3480062226439E13</v>
      </c>
      <c r="F318" s="70" t="s">
        <v>2453</v>
      </c>
      <c r="G318" s="63"/>
      <c r="H318" s="26"/>
      <c r="I318" s="66"/>
    </row>
    <row r="319" ht="15.75" customHeight="1">
      <c r="A319" s="71">
        <v>45822.0</v>
      </c>
      <c r="B319" s="29">
        <v>316.0</v>
      </c>
      <c r="C319" s="68" t="s">
        <v>2196</v>
      </c>
      <c r="D319" s="68" t="s">
        <v>2454</v>
      </c>
      <c r="E319" s="69">
        <v>7.808871933E9</v>
      </c>
      <c r="F319" s="70" t="s">
        <v>2455</v>
      </c>
      <c r="G319" s="63"/>
      <c r="H319" s="26"/>
      <c r="I319" s="66"/>
    </row>
    <row r="320" ht="15.75" customHeight="1">
      <c r="A320" s="71">
        <v>45823.0</v>
      </c>
      <c r="B320" s="29">
        <v>317.0</v>
      </c>
      <c r="C320" s="68" t="s">
        <v>2104</v>
      </c>
      <c r="D320" s="68" t="s">
        <v>2456</v>
      </c>
      <c r="E320" s="69">
        <v>5.069621548E9</v>
      </c>
      <c r="F320" s="70" t="s">
        <v>2457</v>
      </c>
      <c r="G320" s="63"/>
      <c r="H320" s="26"/>
      <c r="I320" s="66"/>
    </row>
    <row r="321" ht="15.75" customHeight="1">
      <c r="A321" s="71">
        <v>45823.0</v>
      </c>
      <c r="B321" s="29">
        <v>318.0</v>
      </c>
      <c r="C321" s="68" t="s">
        <v>1773</v>
      </c>
      <c r="D321" s="68" t="s">
        <v>2458</v>
      </c>
      <c r="E321" s="69">
        <v>2.267574233E9</v>
      </c>
      <c r="F321" s="70" t="s">
        <v>2459</v>
      </c>
      <c r="G321" s="63"/>
      <c r="H321" s="26"/>
      <c r="I321" s="66"/>
    </row>
    <row r="322" ht="15.75" customHeight="1">
      <c r="A322" s="71">
        <v>45823.0</v>
      </c>
      <c r="B322" s="73">
        <v>319.0</v>
      </c>
      <c r="C322" s="68" t="s">
        <v>2460</v>
      </c>
      <c r="D322" s="68" t="s">
        <v>2461</v>
      </c>
      <c r="E322" s="69">
        <v>5.067871135E9</v>
      </c>
      <c r="F322" s="70" t="s">
        <v>2462</v>
      </c>
      <c r="G322" s="63"/>
      <c r="H322" s="26"/>
      <c r="I322" s="66"/>
    </row>
    <row r="323" ht="15.75" customHeight="1">
      <c r="A323" s="71">
        <v>45823.0</v>
      </c>
      <c r="B323" s="29">
        <v>320.0</v>
      </c>
      <c r="C323" s="68" t="s">
        <v>2372</v>
      </c>
      <c r="D323" s="68" t="s">
        <v>2463</v>
      </c>
      <c r="E323" s="69">
        <v>2.505179474E9</v>
      </c>
      <c r="F323" s="70" t="s">
        <v>2464</v>
      </c>
      <c r="G323" s="63"/>
      <c r="H323" s="26"/>
      <c r="I323" s="66"/>
    </row>
    <row r="324" ht="15.75" customHeight="1">
      <c r="A324" s="71">
        <v>45823.0</v>
      </c>
      <c r="B324" s="29">
        <v>321.0</v>
      </c>
      <c r="C324" s="68" t="s">
        <v>1136</v>
      </c>
      <c r="D324" s="68" t="s">
        <v>2465</v>
      </c>
      <c r="E324" s="69">
        <v>2.043996727E9</v>
      </c>
      <c r="F324" s="70" t="s">
        <v>2466</v>
      </c>
      <c r="G324" s="63"/>
      <c r="H324" s="26"/>
      <c r="I324" s="66"/>
    </row>
    <row r="325" ht="15.75" customHeight="1">
      <c r="A325" s="71">
        <v>45823.0</v>
      </c>
      <c r="B325" s="29">
        <v>322.0</v>
      </c>
      <c r="C325" s="68" t="s">
        <v>2467</v>
      </c>
      <c r="D325" s="68" t="s">
        <v>2468</v>
      </c>
      <c r="E325" s="69">
        <v>6.394701239E9</v>
      </c>
      <c r="F325" s="70" t="s">
        <v>2469</v>
      </c>
      <c r="G325" s="63"/>
      <c r="H325" s="26"/>
      <c r="I325" s="66"/>
    </row>
    <row r="326" ht="15.75" customHeight="1">
      <c r="A326" s="71">
        <v>45824.0</v>
      </c>
      <c r="B326" s="29">
        <v>323.0</v>
      </c>
      <c r="C326" s="68" t="s">
        <v>2470</v>
      </c>
      <c r="D326" s="68" t="s">
        <v>933</v>
      </c>
      <c r="E326" s="69">
        <v>2.044920872E9</v>
      </c>
      <c r="F326" s="70" t="s">
        <v>2471</v>
      </c>
      <c r="G326" s="63"/>
      <c r="H326" s="26"/>
      <c r="I326" s="66"/>
    </row>
    <row r="327" ht="15.75" customHeight="1">
      <c r="A327" s="71">
        <v>45824.0</v>
      </c>
      <c r="B327" s="73">
        <v>324.0</v>
      </c>
      <c r="C327" s="68" t="s">
        <v>1794</v>
      </c>
      <c r="D327" s="68" t="s">
        <v>2472</v>
      </c>
      <c r="E327" s="69">
        <v>2.042810493E9</v>
      </c>
      <c r="F327" s="70" t="s">
        <v>2473</v>
      </c>
      <c r="G327" s="63"/>
      <c r="H327" s="26"/>
      <c r="I327" s="66"/>
    </row>
    <row r="328" ht="15.75" customHeight="1">
      <c r="A328" s="71">
        <v>45824.0</v>
      </c>
      <c r="B328" s="29">
        <v>325.0</v>
      </c>
      <c r="C328" s="68" t="s">
        <v>2474</v>
      </c>
      <c r="D328" s="68" t="s">
        <v>2475</v>
      </c>
      <c r="E328" s="69">
        <v>7.822321514E9</v>
      </c>
      <c r="F328" s="70" t="s">
        <v>2476</v>
      </c>
      <c r="G328" s="63"/>
      <c r="H328" s="26"/>
      <c r="I328" s="66"/>
    </row>
    <row r="329" ht="15.75" customHeight="1">
      <c r="A329" s="71">
        <v>45824.0</v>
      </c>
      <c r="B329" s="29">
        <v>326.0</v>
      </c>
      <c r="C329" s="68" t="s">
        <v>933</v>
      </c>
      <c r="D329" s="68" t="s">
        <v>2477</v>
      </c>
      <c r="E329" s="69">
        <v>6.137013021E9</v>
      </c>
      <c r="F329" s="70" t="s">
        <v>2478</v>
      </c>
      <c r="G329" s="63"/>
      <c r="H329" s="26"/>
      <c r="I329" s="66"/>
    </row>
    <row r="330" ht="15.75" customHeight="1">
      <c r="A330" s="71">
        <v>45824.0</v>
      </c>
      <c r="B330" s="29">
        <v>327.0</v>
      </c>
      <c r="C330" s="68" t="s">
        <v>2479</v>
      </c>
      <c r="D330" s="68" t="s">
        <v>2480</v>
      </c>
      <c r="E330" s="69">
        <v>5.062263904E9</v>
      </c>
      <c r="F330" s="70" t="s">
        <v>2481</v>
      </c>
      <c r="G330" s="63"/>
      <c r="H330" s="26"/>
      <c r="I330" s="66"/>
    </row>
    <row r="331" ht="15.75" customHeight="1">
      <c r="A331" s="71">
        <v>45824.0</v>
      </c>
      <c r="B331" s="29">
        <v>328.0</v>
      </c>
      <c r="C331" s="68" t="s">
        <v>870</v>
      </c>
      <c r="D331" s="68" t="s">
        <v>2482</v>
      </c>
      <c r="E331" s="69">
        <v>3.068803994E9</v>
      </c>
      <c r="F331" s="70" t="s">
        <v>2483</v>
      </c>
      <c r="G331" s="63"/>
      <c r="H331" s="26"/>
      <c r="I331" s="66"/>
    </row>
    <row r="332" ht="15.75" customHeight="1">
      <c r="A332" s="71">
        <v>45824.0</v>
      </c>
      <c r="B332" s="73">
        <v>329.0</v>
      </c>
      <c r="C332" s="68" t="s">
        <v>2484</v>
      </c>
      <c r="D332" s="68" t="s">
        <v>2485</v>
      </c>
      <c r="E332" s="69">
        <v>3.067176478E9</v>
      </c>
      <c r="F332" s="70" t="s">
        <v>2486</v>
      </c>
      <c r="G332" s="63"/>
      <c r="H332" s="26"/>
      <c r="I332" s="66"/>
    </row>
    <row r="333" ht="15.75" customHeight="1">
      <c r="A333" s="71">
        <v>45824.0</v>
      </c>
      <c r="B333" s="29">
        <v>330.0</v>
      </c>
      <c r="C333" s="68" t="s">
        <v>2487</v>
      </c>
      <c r="D333" s="68" t="s">
        <v>2488</v>
      </c>
      <c r="E333" s="69">
        <v>7.782030778E9</v>
      </c>
      <c r="F333" s="70" t="s">
        <v>2489</v>
      </c>
      <c r="G333" s="63"/>
      <c r="H333" s="26"/>
      <c r="I333" s="66"/>
    </row>
    <row r="334" ht="15.75" customHeight="1">
      <c r="A334" s="71">
        <v>45825.0</v>
      </c>
      <c r="B334" s="29">
        <v>331.0</v>
      </c>
      <c r="C334" s="68" t="s">
        <v>2490</v>
      </c>
      <c r="D334" s="68" t="s">
        <v>2491</v>
      </c>
      <c r="E334" s="69">
        <v>5.73105398325E11</v>
      </c>
      <c r="F334" s="70" t="s">
        <v>2492</v>
      </c>
      <c r="G334" s="63"/>
      <c r="H334" s="26"/>
      <c r="I334" s="66"/>
    </row>
    <row r="335" ht="15.75" customHeight="1">
      <c r="A335" s="71">
        <v>45825.0</v>
      </c>
      <c r="B335" s="29">
        <v>332.0</v>
      </c>
      <c r="C335" s="68" t="s">
        <v>2493</v>
      </c>
      <c r="D335" s="68" t="s">
        <v>2494</v>
      </c>
      <c r="E335" s="69">
        <v>2.047910105E9</v>
      </c>
      <c r="F335" s="70" t="s">
        <v>1905</v>
      </c>
      <c r="G335" s="63"/>
      <c r="H335" s="26"/>
      <c r="I335" s="66"/>
    </row>
    <row r="336" ht="15.75" customHeight="1">
      <c r="A336" s="71">
        <v>45825.0</v>
      </c>
      <c r="B336" s="29">
        <v>333.0</v>
      </c>
      <c r="C336" s="68" t="s">
        <v>2495</v>
      </c>
      <c r="D336" s="68" t="s">
        <v>2496</v>
      </c>
      <c r="E336" s="69">
        <v>7.09631106E9</v>
      </c>
      <c r="F336" s="70" t="s">
        <v>2497</v>
      </c>
      <c r="G336" s="63"/>
      <c r="H336" s="26"/>
      <c r="I336" s="66"/>
    </row>
    <row r="337" ht="15.75" customHeight="1">
      <c r="A337" s="71">
        <v>45826.0</v>
      </c>
      <c r="B337" s="29">
        <v>334.0</v>
      </c>
      <c r="C337" s="68" t="s">
        <v>2288</v>
      </c>
      <c r="D337" s="68" t="s">
        <v>2498</v>
      </c>
      <c r="E337" s="69">
        <v>4.168915043E9</v>
      </c>
      <c r="F337" s="70" t="s">
        <v>2499</v>
      </c>
      <c r="G337" s="63"/>
      <c r="H337" s="26"/>
      <c r="I337" s="66"/>
    </row>
    <row r="338" ht="15.75" customHeight="1">
      <c r="A338" s="71">
        <v>45826.0</v>
      </c>
      <c r="B338" s="29">
        <v>335.0</v>
      </c>
      <c r="C338" s="68" t="s">
        <v>2500</v>
      </c>
      <c r="D338" s="68" t="s">
        <v>2501</v>
      </c>
      <c r="E338" s="69">
        <v>4.032540006E9</v>
      </c>
      <c r="F338" s="70" t="s">
        <v>2502</v>
      </c>
      <c r="G338" s="63"/>
      <c r="H338" s="26"/>
      <c r="I338" s="66"/>
    </row>
    <row r="339" ht="15.75" customHeight="1">
      <c r="A339" s="71">
        <v>45826.0</v>
      </c>
      <c r="B339" s="73">
        <v>336.0</v>
      </c>
      <c r="C339" s="68" t="s">
        <v>2503</v>
      </c>
      <c r="D339" s="68" t="s">
        <v>2504</v>
      </c>
      <c r="E339" s="69">
        <v>4.384352511E9</v>
      </c>
      <c r="F339" s="70" t="s">
        <v>2505</v>
      </c>
      <c r="G339" s="63"/>
      <c r="H339" s="26"/>
      <c r="I339" s="66"/>
    </row>
    <row r="340" ht="15.75" customHeight="1">
      <c r="A340" s="71">
        <v>45826.0</v>
      </c>
      <c r="B340" s="29">
        <v>337.0</v>
      </c>
      <c r="C340" s="68" t="s">
        <v>2025</v>
      </c>
      <c r="D340" s="68" t="s">
        <v>2506</v>
      </c>
      <c r="E340" s="69">
        <v>4.318445409E9</v>
      </c>
      <c r="F340" s="70" t="s">
        <v>2507</v>
      </c>
      <c r="G340" s="63"/>
      <c r="H340" s="26"/>
      <c r="I340" s="66"/>
    </row>
    <row r="341" ht="15.75" customHeight="1">
      <c r="A341" s="71">
        <v>45826.0</v>
      </c>
      <c r="B341" s="29">
        <v>338.0</v>
      </c>
      <c r="C341" s="68" t="s">
        <v>2508</v>
      </c>
      <c r="D341" s="68" t="s">
        <v>2509</v>
      </c>
      <c r="E341" s="69">
        <v>7.809345965E9</v>
      </c>
      <c r="F341" s="70" t="s">
        <v>2510</v>
      </c>
      <c r="G341" s="63"/>
      <c r="H341" s="26"/>
      <c r="I341" s="66"/>
    </row>
    <row r="342" ht="15.75" customHeight="1">
      <c r="A342" s="71">
        <v>45827.0</v>
      </c>
      <c r="B342" s="29">
        <v>339.0</v>
      </c>
      <c r="C342" s="68" t="s">
        <v>2511</v>
      </c>
      <c r="D342" s="68" t="s">
        <v>2512</v>
      </c>
      <c r="E342" s="69">
        <v>4.312769204E9</v>
      </c>
      <c r="F342" s="70" t="s">
        <v>2513</v>
      </c>
      <c r="G342" s="63"/>
      <c r="H342" s="26"/>
      <c r="I342" s="66"/>
    </row>
    <row r="343" ht="15.75" customHeight="1">
      <c r="A343" s="71">
        <v>45827.0</v>
      </c>
      <c r="B343" s="29">
        <v>340.0</v>
      </c>
      <c r="C343" s="68" t="s">
        <v>2514</v>
      </c>
      <c r="D343" s="68" t="s">
        <v>2515</v>
      </c>
      <c r="E343" s="69">
        <v>3.065318047E9</v>
      </c>
      <c r="F343" s="70" t="s">
        <v>2516</v>
      </c>
      <c r="G343" s="63"/>
      <c r="H343" s="26"/>
      <c r="I343" s="66"/>
    </row>
    <row r="344" ht="15.75" customHeight="1">
      <c r="A344" s="71">
        <v>45828.0</v>
      </c>
      <c r="B344" s="73">
        <v>341.0</v>
      </c>
      <c r="C344" s="68" t="s">
        <v>1871</v>
      </c>
      <c r="D344" s="68" t="s">
        <v>2517</v>
      </c>
      <c r="E344" s="69">
        <v>4.313491165E9</v>
      </c>
      <c r="F344" s="70" t="s">
        <v>2518</v>
      </c>
      <c r="G344" s="63"/>
      <c r="H344" s="26"/>
      <c r="I344" s="66"/>
    </row>
    <row r="345" ht="15.75" customHeight="1">
      <c r="A345" s="71">
        <v>45828.0</v>
      </c>
      <c r="B345" s="29">
        <v>342.0</v>
      </c>
      <c r="C345" s="68" t="s">
        <v>2404</v>
      </c>
      <c r="D345" s="68" t="s">
        <v>2519</v>
      </c>
      <c r="E345" s="69">
        <v>5.062719892E9</v>
      </c>
      <c r="F345" s="70" t="s">
        <v>2520</v>
      </c>
      <c r="G345" s="63"/>
      <c r="H345" s="26"/>
      <c r="I345" s="66"/>
    </row>
    <row r="346" ht="15.75" customHeight="1">
      <c r="A346" s="71">
        <v>45828.0</v>
      </c>
      <c r="B346" s="29">
        <v>343.0</v>
      </c>
      <c r="C346" s="68" t="s">
        <v>2479</v>
      </c>
      <c r="D346" s="68" t="s">
        <v>2521</v>
      </c>
      <c r="E346" s="69">
        <v>3.063143244E9</v>
      </c>
      <c r="F346" s="70" t="s">
        <v>2522</v>
      </c>
      <c r="G346" s="63"/>
      <c r="H346" s="26"/>
      <c r="I346" s="66"/>
    </row>
    <row r="347" ht="15.75" customHeight="1">
      <c r="A347" s="71">
        <v>45828.0</v>
      </c>
      <c r="B347" s="29">
        <v>344.0</v>
      </c>
      <c r="C347" s="68" t="s">
        <v>2523</v>
      </c>
      <c r="D347" s="68" t="s">
        <v>2524</v>
      </c>
      <c r="E347" s="69">
        <v>7.805980114E9</v>
      </c>
      <c r="F347" s="70" t="s">
        <v>2525</v>
      </c>
      <c r="G347" s="63"/>
      <c r="H347" s="26"/>
      <c r="I347" s="66"/>
    </row>
    <row r="348" ht="15.75" customHeight="1">
      <c r="A348" s="71">
        <v>45828.0</v>
      </c>
      <c r="B348" s="29">
        <v>345.0</v>
      </c>
      <c r="C348" s="68" t="s">
        <v>2526</v>
      </c>
      <c r="D348" s="68" t="s">
        <v>2527</v>
      </c>
      <c r="E348" s="69">
        <v>2.042909251E9</v>
      </c>
      <c r="F348" s="70" t="s">
        <v>2528</v>
      </c>
      <c r="G348" s="63"/>
      <c r="H348" s="26"/>
      <c r="I348" s="66"/>
    </row>
    <row r="349" ht="15.75" customHeight="1">
      <c r="A349" s="71">
        <v>45828.0</v>
      </c>
      <c r="B349" s="73">
        <v>346.0</v>
      </c>
      <c r="C349" s="68" t="s">
        <v>1337</v>
      </c>
      <c r="D349" s="68" t="s">
        <v>2529</v>
      </c>
      <c r="E349" s="69">
        <v>5.194663656E9</v>
      </c>
      <c r="F349" s="70" t="s">
        <v>2530</v>
      </c>
      <c r="G349" s="63"/>
      <c r="H349" s="26"/>
      <c r="I349" s="66"/>
    </row>
    <row r="350" ht="15.75" customHeight="1">
      <c r="A350" s="71">
        <v>45828.0</v>
      </c>
      <c r="B350" s="29">
        <v>347.0</v>
      </c>
      <c r="C350" s="68" t="s">
        <v>2531</v>
      </c>
      <c r="D350" s="68" t="s">
        <v>2532</v>
      </c>
      <c r="E350" s="69">
        <v>7.806905964E9</v>
      </c>
      <c r="F350" s="70" t="s">
        <v>2533</v>
      </c>
      <c r="G350" s="63"/>
      <c r="H350" s="26"/>
      <c r="I350" s="66"/>
    </row>
    <row r="351" ht="15.75" customHeight="1">
      <c r="A351" s="71">
        <v>45828.0</v>
      </c>
      <c r="B351" s="29">
        <v>348.0</v>
      </c>
      <c r="C351" s="68" t="s">
        <v>2196</v>
      </c>
      <c r="D351" s="68" t="s">
        <v>2534</v>
      </c>
      <c r="E351" s="69">
        <v>9.056263067E9</v>
      </c>
      <c r="F351" s="70" t="s">
        <v>2535</v>
      </c>
      <c r="G351" s="63"/>
      <c r="H351" s="26"/>
      <c r="I351" s="66"/>
    </row>
    <row r="352" ht="15.75" customHeight="1">
      <c r="A352" s="71">
        <v>45829.0</v>
      </c>
      <c r="B352" s="29">
        <v>349.0</v>
      </c>
      <c r="C352" s="68" t="s">
        <v>2536</v>
      </c>
      <c r="D352" s="68" t="s">
        <v>2537</v>
      </c>
      <c r="E352" s="69">
        <v>9.023887896E9</v>
      </c>
      <c r="F352" s="70" t="s">
        <v>2538</v>
      </c>
      <c r="G352" s="63"/>
      <c r="H352" s="26"/>
      <c r="I352" s="66"/>
    </row>
    <row r="353" ht="15.75" customHeight="1">
      <c r="A353" s="71">
        <v>45829.0</v>
      </c>
      <c r="B353" s="29">
        <v>350.0</v>
      </c>
      <c r="C353" s="68" t="s">
        <v>2539</v>
      </c>
      <c r="D353" s="68" t="s">
        <v>2540</v>
      </c>
      <c r="E353" s="69">
        <v>4.508027651E9</v>
      </c>
      <c r="F353" s="70" t="s">
        <v>2541</v>
      </c>
      <c r="G353" s="63"/>
      <c r="H353" s="26"/>
      <c r="I353" s="66"/>
    </row>
    <row r="354" ht="15.75" customHeight="1">
      <c r="A354" s="71">
        <v>45829.0</v>
      </c>
      <c r="B354" s="73">
        <v>351.0</v>
      </c>
      <c r="C354" s="68" t="s">
        <v>2542</v>
      </c>
      <c r="D354" s="68" t="s">
        <v>2543</v>
      </c>
      <c r="E354" s="69">
        <v>3.062315792E9</v>
      </c>
      <c r="F354" s="70" t="s">
        <v>2544</v>
      </c>
      <c r="G354" s="63"/>
      <c r="H354" s="26"/>
      <c r="I354" s="66"/>
    </row>
    <row r="355" ht="15.75" customHeight="1">
      <c r="A355" s="71">
        <v>45829.0</v>
      </c>
      <c r="B355" s="29">
        <v>352.0</v>
      </c>
      <c r="C355" s="68" t="s">
        <v>2545</v>
      </c>
      <c r="D355" s="68" t="s">
        <v>2546</v>
      </c>
      <c r="E355" s="69">
        <v>2.502188465E9</v>
      </c>
      <c r="F355" s="70" t="s">
        <v>2547</v>
      </c>
      <c r="G355" s="63"/>
      <c r="H355" s="26"/>
      <c r="I355" s="66"/>
    </row>
    <row r="356" ht="15.75" customHeight="1">
      <c r="A356" s="71">
        <v>45830.0</v>
      </c>
      <c r="B356" s="29">
        <v>353.0</v>
      </c>
      <c r="C356" s="68" t="s">
        <v>142</v>
      </c>
      <c r="D356" s="68" t="s">
        <v>2548</v>
      </c>
      <c r="E356" s="69">
        <v>7.092206258E9</v>
      </c>
      <c r="F356" s="70" t="s">
        <v>2549</v>
      </c>
      <c r="G356" s="63"/>
      <c r="H356" s="26"/>
      <c r="I356" s="66"/>
    </row>
    <row r="357" ht="15.75" customHeight="1">
      <c r="A357" s="71">
        <v>45830.0</v>
      </c>
      <c r="B357" s="29">
        <v>354.0</v>
      </c>
      <c r="C357" s="68" t="s">
        <v>2550</v>
      </c>
      <c r="D357" s="68" t="s">
        <v>2551</v>
      </c>
      <c r="E357" s="69">
        <v>6.39384248E9</v>
      </c>
      <c r="F357" s="70" t="s">
        <v>2552</v>
      </c>
      <c r="G357" s="63"/>
      <c r="H357" s="26"/>
      <c r="I357" s="66"/>
    </row>
    <row r="358" ht="15.75" customHeight="1">
      <c r="A358" s="71">
        <v>45831.0</v>
      </c>
      <c r="B358" s="29">
        <v>355.0</v>
      </c>
      <c r="C358" s="68" t="s">
        <v>2553</v>
      </c>
      <c r="D358" s="68" t="s">
        <v>2554</v>
      </c>
      <c r="E358" s="69">
        <v>5.875914135E9</v>
      </c>
      <c r="F358" s="70" t="s">
        <v>2555</v>
      </c>
      <c r="G358" s="63"/>
      <c r="H358" s="26"/>
      <c r="I358" s="66"/>
    </row>
    <row r="359" ht="15.75" customHeight="1">
      <c r="A359" s="71">
        <v>45831.0</v>
      </c>
      <c r="B359" s="73">
        <v>356.0</v>
      </c>
      <c r="C359" s="68" t="s">
        <v>2556</v>
      </c>
      <c r="D359" s="68" t="s">
        <v>2557</v>
      </c>
      <c r="E359" s="69">
        <v>3.062809622E9</v>
      </c>
      <c r="F359" s="70" t="s">
        <v>2558</v>
      </c>
      <c r="G359" s="63"/>
      <c r="H359" s="26"/>
      <c r="I359" s="66"/>
    </row>
    <row r="360" ht="15.75" customHeight="1">
      <c r="A360" s="71">
        <v>45831.0</v>
      </c>
      <c r="B360" s="29">
        <v>357.0</v>
      </c>
      <c r="C360" s="68" t="s">
        <v>2559</v>
      </c>
      <c r="D360" s="68" t="s">
        <v>2560</v>
      </c>
      <c r="E360" s="69">
        <v>3.065336085E9</v>
      </c>
      <c r="F360" s="70" t="s">
        <v>2561</v>
      </c>
      <c r="G360" s="63"/>
      <c r="H360" s="26"/>
      <c r="I360" s="66"/>
    </row>
    <row r="361" ht="15.75" customHeight="1">
      <c r="A361" s="71">
        <v>45831.0</v>
      </c>
      <c r="B361" s="29">
        <v>358.0</v>
      </c>
      <c r="C361" s="68" t="s">
        <v>1773</v>
      </c>
      <c r="D361" s="68" t="s">
        <v>2562</v>
      </c>
      <c r="E361" s="69">
        <v>3.06940718E9</v>
      </c>
      <c r="F361" s="70" t="s">
        <v>2563</v>
      </c>
      <c r="G361" s="63"/>
      <c r="H361" s="26"/>
      <c r="I361" s="66"/>
    </row>
    <row r="362" ht="15.75" customHeight="1">
      <c r="A362" s="71">
        <v>45831.0</v>
      </c>
      <c r="B362" s="29">
        <v>359.0</v>
      </c>
      <c r="C362" s="68" t="s">
        <v>2564</v>
      </c>
      <c r="D362" s="68" t="s">
        <v>2565</v>
      </c>
      <c r="E362" s="69">
        <v>4.313716518E9</v>
      </c>
      <c r="F362" s="70" t="s">
        <v>2566</v>
      </c>
      <c r="G362" s="63"/>
      <c r="H362" s="26"/>
      <c r="I362" s="66"/>
    </row>
    <row r="363" ht="15.75" customHeight="1">
      <c r="A363" s="71">
        <v>45832.0</v>
      </c>
      <c r="B363" s="29">
        <v>360.0</v>
      </c>
      <c r="C363" s="68" t="s">
        <v>239</v>
      </c>
      <c r="D363" s="68" t="s">
        <v>2567</v>
      </c>
      <c r="E363" s="69">
        <v>3.064972407E9</v>
      </c>
      <c r="F363" s="70" t="s">
        <v>2568</v>
      </c>
      <c r="G363" s="63"/>
      <c r="H363" s="26"/>
      <c r="I363" s="66"/>
    </row>
    <row r="364" ht="15.75" customHeight="1">
      <c r="A364" s="71">
        <v>45833.0</v>
      </c>
      <c r="B364" s="73">
        <v>361.0</v>
      </c>
      <c r="C364" s="68" t="s">
        <v>2569</v>
      </c>
      <c r="D364" s="68" t="s">
        <v>12</v>
      </c>
      <c r="E364" s="69">
        <v>7.805661012E9</v>
      </c>
      <c r="F364" s="70" t="s">
        <v>2570</v>
      </c>
      <c r="G364" s="63"/>
      <c r="H364" s="26"/>
      <c r="I364" s="66"/>
    </row>
    <row r="365" ht="15.75" customHeight="1">
      <c r="A365" s="71">
        <v>45833.0</v>
      </c>
      <c r="B365" s="29">
        <v>362.0</v>
      </c>
      <c r="C365" s="68" t="s">
        <v>2571</v>
      </c>
      <c r="D365" s="68" t="s">
        <v>2572</v>
      </c>
      <c r="E365" s="69">
        <v>2.048063547E9</v>
      </c>
      <c r="F365" s="70" t="s">
        <v>2573</v>
      </c>
      <c r="G365" s="63"/>
      <c r="H365" s="26"/>
      <c r="I365" s="66"/>
    </row>
    <row r="366" ht="15.75" customHeight="1">
      <c r="A366" s="71">
        <v>45834.0</v>
      </c>
      <c r="B366" s="29">
        <v>363.0</v>
      </c>
      <c r="C366" s="68" t="s">
        <v>2574</v>
      </c>
      <c r="D366" s="68" t="s">
        <v>2575</v>
      </c>
      <c r="E366" s="69">
        <v>8.076291464E9</v>
      </c>
      <c r="F366" s="70" t="s">
        <v>2576</v>
      </c>
      <c r="G366" s="63"/>
      <c r="H366" s="26"/>
      <c r="I366" s="66"/>
    </row>
    <row r="367" ht="15.75" customHeight="1">
      <c r="A367" s="71">
        <v>45834.0</v>
      </c>
      <c r="B367" s="29">
        <v>364.0</v>
      </c>
      <c r="C367" s="68" t="s">
        <v>2479</v>
      </c>
      <c r="D367" s="68" t="s">
        <v>2577</v>
      </c>
      <c r="E367" s="69">
        <v>5.068717418E9</v>
      </c>
      <c r="F367" s="70" t="s">
        <v>2578</v>
      </c>
      <c r="G367" s="63"/>
      <c r="H367" s="26"/>
      <c r="I367" s="66"/>
    </row>
    <row r="368" ht="15.75" customHeight="1">
      <c r="A368" s="71">
        <v>45835.0</v>
      </c>
      <c r="B368" s="29">
        <v>365.0</v>
      </c>
      <c r="C368" s="68" t="s">
        <v>2579</v>
      </c>
      <c r="D368" s="68" t="s">
        <v>2580</v>
      </c>
      <c r="E368" s="69">
        <v>4.166271449E9</v>
      </c>
      <c r="F368" s="70" t="s">
        <v>2581</v>
      </c>
      <c r="G368" s="63"/>
      <c r="H368" s="26"/>
      <c r="I368" s="66"/>
    </row>
    <row r="369" ht="15.75" customHeight="1">
      <c r="A369" s="71">
        <v>45836.0</v>
      </c>
      <c r="B369" s="73">
        <v>366.0</v>
      </c>
      <c r="C369" s="68" t="s">
        <v>2582</v>
      </c>
      <c r="D369" s="68" t="s">
        <v>2583</v>
      </c>
      <c r="E369" s="69">
        <v>4.036336342E9</v>
      </c>
      <c r="F369" s="70" t="s">
        <v>2584</v>
      </c>
      <c r="G369" s="63"/>
      <c r="H369" s="26"/>
      <c r="I369" s="66"/>
    </row>
    <row r="370" ht="15.75" customHeight="1">
      <c r="A370" s="71">
        <v>45836.0</v>
      </c>
      <c r="B370" s="29">
        <v>367.0</v>
      </c>
      <c r="C370" s="68" t="s">
        <v>1499</v>
      </c>
      <c r="D370" s="68" t="s">
        <v>2585</v>
      </c>
      <c r="E370" s="69">
        <v>5.196948115E9</v>
      </c>
      <c r="F370" s="70" t="s">
        <v>2586</v>
      </c>
      <c r="G370" s="63"/>
      <c r="H370" s="26"/>
      <c r="I370" s="66"/>
    </row>
    <row r="371" ht="15.75" customHeight="1">
      <c r="A371" s="71">
        <v>45837.0</v>
      </c>
      <c r="B371" s="29">
        <v>368.0</v>
      </c>
      <c r="C371" s="68" t="s">
        <v>2587</v>
      </c>
      <c r="D371" s="68" t="s">
        <v>2588</v>
      </c>
      <c r="E371" s="69">
        <v>5.873416357E9</v>
      </c>
      <c r="F371" s="70" t="s">
        <v>2589</v>
      </c>
      <c r="G371" s="63"/>
      <c r="H371" s="26"/>
      <c r="I371" s="66"/>
    </row>
    <row r="372" ht="15.75" customHeight="1">
      <c r="A372" s="71">
        <v>45837.0</v>
      </c>
      <c r="B372" s="29">
        <v>369.0</v>
      </c>
      <c r="C372" s="68" t="s">
        <v>2590</v>
      </c>
      <c r="D372" s="68" t="s">
        <v>2591</v>
      </c>
      <c r="E372" s="69">
        <v>6.473914539E9</v>
      </c>
      <c r="F372" s="70" t="s">
        <v>2592</v>
      </c>
      <c r="G372" s="63"/>
      <c r="H372" s="26"/>
      <c r="I372" s="66"/>
    </row>
    <row r="373" ht="15.75" customHeight="1">
      <c r="A373" s="71">
        <v>45837.0</v>
      </c>
      <c r="B373" s="29">
        <v>370.0</v>
      </c>
      <c r="C373" s="68" t="s">
        <v>2593</v>
      </c>
      <c r="D373" s="68" t="s">
        <v>2594</v>
      </c>
      <c r="E373" s="69">
        <v>7.052817551E9</v>
      </c>
      <c r="F373" s="70" t="s">
        <v>2595</v>
      </c>
      <c r="G373" s="63"/>
      <c r="H373" s="26"/>
      <c r="I373" s="66"/>
    </row>
    <row r="374" ht="15.75" customHeight="1">
      <c r="A374" s="71">
        <v>45837.0</v>
      </c>
      <c r="B374" s="73">
        <v>371.0</v>
      </c>
      <c r="C374" s="68" t="s">
        <v>1836</v>
      </c>
      <c r="D374" s="68" t="s">
        <v>2596</v>
      </c>
      <c r="E374" s="69">
        <v>9.024496822E9</v>
      </c>
      <c r="F374" s="70" t="s">
        <v>2597</v>
      </c>
      <c r="G374" s="63"/>
      <c r="H374" s="26"/>
      <c r="I374" s="66"/>
    </row>
    <row r="375" ht="15.75" customHeight="1">
      <c r="A375" s="71">
        <v>45837.0</v>
      </c>
      <c r="B375" s="29">
        <v>372.0</v>
      </c>
      <c r="C375" s="68" t="s">
        <v>2598</v>
      </c>
      <c r="D375" s="68" t="s">
        <v>1981</v>
      </c>
      <c r="E375" s="69">
        <v>5.062910304E9</v>
      </c>
      <c r="F375" s="70" t="s">
        <v>2599</v>
      </c>
      <c r="G375" s="63"/>
      <c r="H375" s="26"/>
      <c r="I375" s="66"/>
    </row>
    <row r="376" ht="15.75" customHeight="1">
      <c r="A376" s="71">
        <v>45837.0</v>
      </c>
      <c r="B376" s="29">
        <v>373.0</v>
      </c>
      <c r="C376" s="68" t="s">
        <v>2600</v>
      </c>
      <c r="D376" s="68" t="s">
        <v>2601</v>
      </c>
      <c r="E376" s="69">
        <v>3.062201791E9</v>
      </c>
      <c r="F376" s="70" t="s">
        <v>2602</v>
      </c>
      <c r="G376" s="63"/>
      <c r="H376" s="26"/>
      <c r="I376" s="66"/>
    </row>
    <row r="377" ht="15.75" customHeight="1">
      <c r="A377" s="71">
        <v>45837.0</v>
      </c>
      <c r="B377" s="29">
        <v>374.0</v>
      </c>
      <c r="C377" s="68" t="s">
        <v>2603</v>
      </c>
      <c r="D377" s="68" t="s">
        <v>2604</v>
      </c>
      <c r="E377" s="69">
        <v>2.049958534E9</v>
      </c>
      <c r="F377" s="70" t="s">
        <v>2605</v>
      </c>
      <c r="G377" s="63"/>
      <c r="H377" s="26"/>
      <c r="I377" s="66"/>
    </row>
    <row r="378" ht="15.75" customHeight="1">
      <c r="A378" s="71">
        <v>45837.0</v>
      </c>
      <c r="B378" s="29">
        <v>375.0</v>
      </c>
      <c r="C378" s="68" t="s">
        <v>2606</v>
      </c>
      <c r="D378" s="68" t="s">
        <v>2607</v>
      </c>
      <c r="E378" s="69">
        <v>2.043321434E9</v>
      </c>
      <c r="F378" s="70" t="s">
        <v>2608</v>
      </c>
      <c r="G378" s="63"/>
      <c r="H378" s="26"/>
      <c r="I378" s="66"/>
    </row>
    <row r="379" ht="15.75" customHeight="1">
      <c r="A379" s="71">
        <v>45838.0</v>
      </c>
      <c r="B379" s="29">
        <v>376.0</v>
      </c>
      <c r="C379" s="68" t="s">
        <v>2609</v>
      </c>
      <c r="D379" s="68" t="s">
        <v>2580</v>
      </c>
      <c r="E379" s="69">
        <v>6.47975997E9</v>
      </c>
      <c r="F379" s="70" t="s">
        <v>2610</v>
      </c>
      <c r="G379" s="63"/>
      <c r="H379" s="26"/>
      <c r="I379" s="66"/>
    </row>
    <row r="380" ht="15.75" customHeight="1">
      <c r="A380" s="71">
        <v>45838.0</v>
      </c>
      <c r="B380" s="29">
        <v>377.0</v>
      </c>
      <c r="C380" s="68" t="s">
        <v>2611</v>
      </c>
      <c r="D380" s="68" t="s">
        <v>2612</v>
      </c>
      <c r="E380" s="69">
        <v>4.388316416E9</v>
      </c>
      <c r="F380" s="70" t="s">
        <v>2613</v>
      </c>
      <c r="G380" s="63"/>
      <c r="H380" s="26"/>
      <c r="I380" s="66"/>
    </row>
    <row r="381" ht="15.75" customHeight="1">
      <c r="A381" s="71">
        <v>45839.0</v>
      </c>
      <c r="B381" s="29">
        <v>378.0</v>
      </c>
      <c r="C381" s="68" t="s">
        <v>2614</v>
      </c>
      <c r="D381" s="68" t="s">
        <v>2615</v>
      </c>
      <c r="E381" s="69">
        <v>6.39525903E9</v>
      </c>
      <c r="F381" s="70" t="s">
        <v>2616</v>
      </c>
      <c r="G381" s="63"/>
      <c r="H381" s="26"/>
      <c r="I381" s="66"/>
    </row>
    <row r="382" ht="15.75" customHeight="1">
      <c r="A382" s="71">
        <v>45839.0</v>
      </c>
      <c r="B382" s="29">
        <v>379.0</v>
      </c>
      <c r="C382" s="68" t="s">
        <v>752</v>
      </c>
      <c r="D382" s="68" t="s">
        <v>753</v>
      </c>
      <c r="E382" s="69">
        <v>4.378822511E9</v>
      </c>
      <c r="F382" s="70" t="s">
        <v>2617</v>
      </c>
      <c r="G382" s="63"/>
      <c r="H382" s="26"/>
      <c r="I382" s="66"/>
    </row>
    <row r="383" ht="15.75" customHeight="1">
      <c r="A383" s="71">
        <v>45839.0</v>
      </c>
      <c r="B383" s="29">
        <v>380.0</v>
      </c>
      <c r="C383" s="68" t="s">
        <v>2609</v>
      </c>
      <c r="D383" s="68" t="s">
        <v>2618</v>
      </c>
      <c r="E383" s="69">
        <v>6.478339606E9</v>
      </c>
      <c r="F383" s="70" t="s">
        <v>2619</v>
      </c>
      <c r="G383" s="63"/>
      <c r="H383" s="26"/>
      <c r="I383" s="66"/>
    </row>
    <row r="384" ht="15.75" customHeight="1">
      <c r="A384" s="71">
        <v>45839.0</v>
      </c>
      <c r="B384" s="29">
        <v>381.0</v>
      </c>
      <c r="C384" s="68" t="s">
        <v>1147</v>
      </c>
      <c r="D384" s="68" t="s">
        <v>2620</v>
      </c>
      <c r="E384" s="69">
        <v>6.132973426E9</v>
      </c>
      <c r="F384" s="70" t="s">
        <v>2621</v>
      </c>
      <c r="G384" s="63"/>
      <c r="H384" s="26"/>
      <c r="I384" s="66"/>
    </row>
    <row r="385" ht="15.75" customHeight="1">
      <c r="A385" s="71">
        <v>45840.0</v>
      </c>
      <c r="B385" s="29">
        <v>382.0</v>
      </c>
      <c r="C385" s="68" t="s">
        <v>2622</v>
      </c>
      <c r="D385" s="68" t="s">
        <v>2623</v>
      </c>
      <c r="E385" s="69">
        <v>5.146551474E9</v>
      </c>
      <c r="F385" s="70" t="s">
        <v>2624</v>
      </c>
      <c r="G385" s="63"/>
      <c r="H385" s="26"/>
      <c r="I385" s="66"/>
    </row>
    <row r="386" ht="15.75" customHeight="1">
      <c r="A386" s="71">
        <v>45840.0</v>
      </c>
      <c r="B386" s="29">
        <v>383.0</v>
      </c>
      <c r="C386" s="68" t="s">
        <v>2625</v>
      </c>
      <c r="D386" s="68" t="s">
        <v>2626</v>
      </c>
      <c r="E386" s="69">
        <v>2.046889854E9</v>
      </c>
      <c r="F386" s="70" t="s">
        <v>2627</v>
      </c>
      <c r="G386" s="63"/>
      <c r="H386" s="26"/>
      <c r="I386" s="66"/>
    </row>
    <row r="387" ht="15.75" customHeight="1">
      <c r="A387" s="71">
        <v>45840.0</v>
      </c>
      <c r="B387" s="29">
        <v>384.0</v>
      </c>
      <c r="C387" s="68" t="s">
        <v>1482</v>
      </c>
      <c r="D387" s="68" t="s">
        <v>2628</v>
      </c>
      <c r="E387" s="69">
        <v>5.879828708E9</v>
      </c>
      <c r="F387" s="70" t="s">
        <v>2629</v>
      </c>
      <c r="G387" s="63"/>
      <c r="H387" s="26"/>
      <c r="I387" s="66"/>
    </row>
    <row r="388" ht="15.75" customHeight="1">
      <c r="A388" s="71">
        <v>45840.0</v>
      </c>
      <c r="B388" s="29">
        <v>385.0</v>
      </c>
      <c r="C388" s="68" t="s">
        <v>2630</v>
      </c>
      <c r="D388" s="68" t="s">
        <v>2631</v>
      </c>
      <c r="E388" s="69">
        <v>9.028144296E9</v>
      </c>
      <c r="F388" s="70" t="s">
        <v>2632</v>
      </c>
      <c r="G388" s="63"/>
      <c r="H388" s="26"/>
      <c r="I388" s="66"/>
    </row>
    <row r="389" ht="15.75" customHeight="1">
      <c r="A389" s="71">
        <v>45841.0</v>
      </c>
      <c r="B389" s="29">
        <v>386.0</v>
      </c>
      <c r="C389" s="68" t="s">
        <v>2633</v>
      </c>
      <c r="D389" s="68" t="s">
        <v>2634</v>
      </c>
      <c r="E389" s="69">
        <v>9.059712875E9</v>
      </c>
      <c r="F389" s="70" t="s">
        <v>2635</v>
      </c>
      <c r="G389" s="63"/>
      <c r="H389" s="26"/>
      <c r="I389" s="66"/>
    </row>
    <row r="390" ht="15.75" customHeight="1">
      <c r="A390" s="71">
        <v>45841.0</v>
      </c>
      <c r="B390" s="29">
        <v>387.0</v>
      </c>
      <c r="C390" s="68" t="s">
        <v>2636</v>
      </c>
      <c r="D390" s="68" t="s">
        <v>2637</v>
      </c>
      <c r="E390" s="69">
        <v>5.197812749E9</v>
      </c>
      <c r="F390" s="70" t="s">
        <v>2638</v>
      </c>
      <c r="G390" s="63"/>
      <c r="H390" s="26"/>
      <c r="I390" s="66"/>
    </row>
    <row r="391" ht="15.75" customHeight="1">
      <c r="A391" s="71">
        <v>45842.0</v>
      </c>
      <c r="B391" s="29">
        <v>388.0</v>
      </c>
      <c r="C391" s="68" t="s">
        <v>2639</v>
      </c>
      <c r="D391" s="68" t="s">
        <v>2640</v>
      </c>
      <c r="E391" s="69">
        <v>9.025656688E9</v>
      </c>
      <c r="F391" s="70" t="s">
        <v>2641</v>
      </c>
      <c r="G391" s="63"/>
      <c r="H391" s="26"/>
      <c r="I391" s="66"/>
    </row>
    <row r="392" ht="15.75" customHeight="1">
      <c r="A392" s="71">
        <v>45842.0</v>
      </c>
      <c r="B392" s="29">
        <v>389.0</v>
      </c>
      <c r="C392" s="68" t="s">
        <v>880</v>
      </c>
      <c r="D392" s="68" t="s">
        <v>2580</v>
      </c>
      <c r="E392" s="69">
        <v>6.478918824E9</v>
      </c>
      <c r="F392" s="70" t="s">
        <v>2642</v>
      </c>
      <c r="G392" s="63"/>
      <c r="H392" s="26"/>
      <c r="I392" s="66"/>
    </row>
    <row r="393" ht="15.75" customHeight="1">
      <c r="A393" s="71">
        <v>45842.0</v>
      </c>
      <c r="B393" s="29">
        <v>390.0</v>
      </c>
      <c r="C393" s="68" t="s">
        <v>2643</v>
      </c>
      <c r="D393" s="68" t="s">
        <v>2644</v>
      </c>
      <c r="E393" s="69">
        <v>9.02999327E9</v>
      </c>
      <c r="F393" s="70" t="s">
        <v>2645</v>
      </c>
      <c r="G393" s="63"/>
      <c r="H393" s="26"/>
      <c r="I393" s="66"/>
    </row>
    <row r="394" ht="15.75" customHeight="1">
      <c r="A394" s="71">
        <v>45842.0</v>
      </c>
      <c r="B394" s="29">
        <v>391.0</v>
      </c>
      <c r="C394" s="68" t="s">
        <v>2646</v>
      </c>
      <c r="D394" s="68" t="s">
        <v>2647</v>
      </c>
      <c r="E394" s="69">
        <v>8.199436416E9</v>
      </c>
      <c r="F394" s="70" t="s">
        <v>2648</v>
      </c>
      <c r="G394" s="63"/>
      <c r="H394" s="26"/>
      <c r="I394" s="66"/>
    </row>
    <row r="395" ht="15.75" customHeight="1">
      <c r="A395" s="71">
        <v>45843.0</v>
      </c>
      <c r="B395" s="29">
        <v>392.0</v>
      </c>
      <c r="C395" s="68" t="s">
        <v>2569</v>
      </c>
      <c r="D395" s="68" t="s">
        <v>2649</v>
      </c>
      <c r="E395" s="69">
        <v>4.319906688E9</v>
      </c>
      <c r="F395" s="70" t="s">
        <v>2650</v>
      </c>
      <c r="G395" s="63"/>
      <c r="H395" s="26"/>
      <c r="I395" s="66"/>
    </row>
    <row r="396" ht="15.75" customHeight="1">
      <c r="A396" s="71">
        <v>45844.0</v>
      </c>
      <c r="B396" s="29">
        <v>393.0</v>
      </c>
      <c r="C396" s="68" t="s">
        <v>2651</v>
      </c>
      <c r="D396" s="68" t="s">
        <v>2652</v>
      </c>
      <c r="E396" s="69">
        <v>7.8020198E9</v>
      </c>
      <c r="F396" s="70" t="s">
        <v>2653</v>
      </c>
      <c r="G396" s="63"/>
      <c r="H396" s="26"/>
      <c r="I396" s="66"/>
    </row>
    <row r="397" ht="15.75" customHeight="1">
      <c r="A397" s="71">
        <v>45844.0</v>
      </c>
      <c r="B397" s="29">
        <v>394.0</v>
      </c>
      <c r="C397" s="68" t="s">
        <v>2654</v>
      </c>
      <c r="D397" s="68" t="s">
        <v>1364</v>
      </c>
      <c r="E397" s="69">
        <v>7.808631245E9</v>
      </c>
      <c r="F397" s="70" t="s">
        <v>2655</v>
      </c>
      <c r="G397" s="63"/>
      <c r="H397" s="26"/>
      <c r="I397" s="66"/>
    </row>
    <row r="398" ht="15.75" customHeight="1">
      <c r="A398" s="71">
        <v>45844.0</v>
      </c>
      <c r="B398" s="29">
        <v>395.0</v>
      </c>
      <c r="C398" s="68" t="s">
        <v>2656</v>
      </c>
      <c r="D398" s="68" t="s">
        <v>2657</v>
      </c>
      <c r="E398" s="69">
        <v>7.096366697E9</v>
      </c>
      <c r="F398" s="70" t="s">
        <v>2658</v>
      </c>
      <c r="G398" s="63"/>
      <c r="H398" s="26"/>
      <c r="I398" s="66"/>
    </row>
    <row r="399" ht="15.75" customHeight="1">
      <c r="A399" s="71">
        <v>45845.0</v>
      </c>
      <c r="B399" s="29">
        <v>396.0</v>
      </c>
      <c r="C399" s="68" t="s">
        <v>1597</v>
      </c>
      <c r="D399" s="68" t="s">
        <v>2659</v>
      </c>
      <c r="E399" s="69">
        <v>7.098347972E9</v>
      </c>
      <c r="F399" s="70" t="s">
        <v>2660</v>
      </c>
      <c r="G399" s="63"/>
      <c r="H399" s="26"/>
      <c r="I399" s="66"/>
    </row>
    <row r="400" ht="15.75" customHeight="1">
      <c r="A400" s="71">
        <v>45845.0</v>
      </c>
      <c r="B400" s="29">
        <v>397.0</v>
      </c>
      <c r="C400" s="68" t="s">
        <v>2661</v>
      </c>
      <c r="D400" s="68" t="s">
        <v>2662</v>
      </c>
      <c r="E400" s="69">
        <v>3.06250874E9</v>
      </c>
      <c r="F400" s="70" t="s">
        <v>2663</v>
      </c>
      <c r="G400" s="63"/>
      <c r="H400" s="26"/>
      <c r="I400" s="66"/>
    </row>
    <row r="401" ht="15.75" customHeight="1">
      <c r="A401" s="71">
        <v>45845.0</v>
      </c>
      <c r="B401" s="29">
        <v>398.0</v>
      </c>
      <c r="C401" s="68" t="s">
        <v>2664</v>
      </c>
      <c r="D401" s="68" t="s">
        <v>2580</v>
      </c>
      <c r="E401" s="69">
        <v>6.476136694E9</v>
      </c>
      <c r="F401" s="70" t="s">
        <v>2665</v>
      </c>
      <c r="G401" s="63"/>
      <c r="H401" s="26"/>
      <c r="I401" s="66"/>
    </row>
    <row r="402" ht="15.75" customHeight="1">
      <c r="A402" s="71">
        <v>45846.0</v>
      </c>
      <c r="B402" s="29">
        <v>399.0</v>
      </c>
      <c r="C402" s="68" t="s">
        <v>2666</v>
      </c>
      <c r="D402" s="68" t="s">
        <v>2667</v>
      </c>
      <c r="E402" s="69">
        <v>3.067152276E9</v>
      </c>
      <c r="F402" s="70" t="s">
        <v>2668</v>
      </c>
      <c r="G402" s="63"/>
      <c r="H402" s="26"/>
      <c r="I402" s="66"/>
    </row>
    <row r="403" ht="15.75" customHeight="1">
      <c r="A403" s="71">
        <v>45846.0</v>
      </c>
      <c r="B403" s="29">
        <v>400.0</v>
      </c>
      <c r="C403" s="68" t="s">
        <v>2669</v>
      </c>
      <c r="D403" s="68" t="s">
        <v>2670</v>
      </c>
      <c r="E403" s="69">
        <v>9.028180515E9</v>
      </c>
      <c r="F403" s="70" t="s">
        <v>2671</v>
      </c>
      <c r="G403" s="63"/>
      <c r="H403" s="26"/>
      <c r="I403" s="66"/>
    </row>
    <row r="404" ht="15.75" customHeight="1">
      <c r="A404" s="71">
        <v>45847.0</v>
      </c>
      <c r="B404" s="29">
        <v>401.0</v>
      </c>
      <c r="C404" s="68" t="s">
        <v>2672</v>
      </c>
      <c r="D404" s="68" t="s">
        <v>2673</v>
      </c>
      <c r="E404" s="69">
        <v>2.33245555118E11</v>
      </c>
      <c r="F404" s="70" t="s">
        <v>2674</v>
      </c>
      <c r="G404" s="63"/>
      <c r="H404" s="26"/>
      <c r="I404" s="66"/>
    </row>
    <row r="405" ht="15.75" customHeight="1">
      <c r="A405" s="71">
        <v>45848.0</v>
      </c>
      <c r="B405" s="29">
        <v>402.0</v>
      </c>
      <c r="C405" s="68" t="s">
        <v>2675</v>
      </c>
      <c r="D405" s="68" t="s">
        <v>2676</v>
      </c>
      <c r="E405" s="69">
        <v>4.035063805E9</v>
      </c>
      <c r="F405" s="70" t="s">
        <v>2677</v>
      </c>
      <c r="G405" s="63"/>
      <c r="H405" s="26"/>
      <c r="I405" s="66"/>
    </row>
    <row r="406" ht="15.75" customHeight="1">
      <c r="A406" s="71">
        <v>45848.0</v>
      </c>
      <c r="B406" s="29">
        <v>403.0</v>
      </c>
      <c r="C406" s="68" t="s">
        <v>2678</v>
      </c>
      <c r="D406" s="68" t="s">
        <v>2580</v>
      </c>
      <c r="E406" s="69">
        <v>4.313344191E9</v>
      </c>
      <c r="F406" s="70" t="s">
        <v>2679</v>
      </c>
      <c r="G406" s="63"/>
      <c r="H406" s="26"/>
      <c r="I406" s="66"/>
    </row>
    <row r="407" ht="15.75" customHeight="1">
      <c r="A407" s="71">
        <v>45848.0</v>
      </c>
      <c r="B407" s="29">
        <v>404.0</v>
      </c>
      <c r="C407" s="68" t="s">
        <v>2680</v>
      </c>
      <c r="D407" s="68" t="s">
        <v>2350</v>
      </c>
      <c r="E407" s="69">
        <v>2.045090517E9</v>
      </c>
      <c r="F407" s="70" t="s">
        <v>2681</v>
      </c>
      <c r="G407" s="63"/>
      <c r="H407" s="26"/>
      <c r="I407" s="66"/>
    </row>
    <row r="408" ht="15.75" customHeight="1">
      <c r="A408" s="71">
        <v>45848.0</v>
      </c>
      <c r="B408" s="29">
        <v>405.0</v>
      </c>
      <c r="C408" s="68" t="s">
        <v>2059</v>
      </c>
      <c r="D408" s="68" t="s">
        <v>2682</v>
      </c>
      <c r="E408" s="69">
        <v>8.735508191E9</v>
      </c>
      <c r="F408" s="70" t="s">
        <v>2683</v>
      </c>
      <c r="G408" s="63"/>
      <c r="H408" s="26"/>
      <c r="I408" s="66"/>
    </row>
    <row r="409" ht="15.75" customHeight="1">
      <c r="A409" s="71">
        <v>45848.0</v>
      </c>
      <c r="B409" s="29">
        <v>406.0</v>
      </c>
      <c r="C409" s="68" t="s">
        <v>2205</v>
      </c>
      <c r="D409" s="68" t="s">
        <v>2684</v>
      </c>
      <c r="E409" s="69">
        <v>2.042931338E9</v>
      </c>
      <c r="F409" s="70" t="s">
        <v>2685</v>
      </c>
      <c r="G409" s="63"/>
      <c r="H409" s="26"/>
      <c r="I409" s="66"/>
    </row>
    <row r="410" ht="15.75" customHeight="1">
      <c r="A410" s="71">
        <v>45849.0</v>
      </c>
      <c r="B410" s="29">
        <v>407.0</v>
      </c>
      <c r="C410" s="68" t="s">
        <v>2686</v>
      </c>
      <c r="D410" s="68" t="s">
        <v>2687</v>
      </c>
      <c r="E410" s="69">
        <v>4.319984853E9</v>
      </c>
      <c r="F410" s="70" t="s">
        <v>2688</v>
      </c>
      <c r="G410" s="63"/>
      <c r="H410" s="26"/>
      <c r="I410" s="66"/>
    </row>
    <row r="411" ht="15.75" customHeight="1">
      <c r="A411" s="71">
        <v>45849.0</v>
      </c>
      <c r="B411" s="29">
        <v>408.0</v>
      </c>
      <c r="C411" s="68" t="s">
        <v>443</v>
      </c>
      <c r="D411" s="68" t="s">
        <v>2689</v>
      </c>
      <c r="E411" s="69">
        <v>7.805245001E9</v>
      </c>
      <c r="F411" s="70" t="s">
        <v>2690</v>
      </c>
      <c r="G411" s="63"/>
      <c r="H411" s="26"/>
      <c r="I411" s="66"/>
    </row>
    <row r="412" ht="15.75" customHeight="1">
      <c r="A412" s="71">
        <v>45849.0</v>
      </c>
      <c r="B412" s="29">
        <v>409.0</v>
      </c>
      <c r="C412" s="68" t="s">
        <v>2691</v>
      </c>
      <c r="D412" s="68" t="s">
        <v>2692</v>
      </c>
      <c r="E412" s="69">
        <v>4.168382654E9</v>
      </c>
      <c r="F412" s="70" t="s">
        <v>2693</v>
      </c>
      <c r="G412" s="63"/>
      <c r="H412" s="26"/>
      <c r="I412" s="66"/>
    </row>
    <row r="413" ht="15.75" customHeight="1">
      <c r="A413" s="71">
        <v>45849.0</v>
      </c>
      <c r="B413" s="29">
        <v>410.0</v>
      </c>
      <c r="C413" s="68" t="s">
        <v>2694</v>
      </c>
      <c r="D413" s="68" t="s">
        <v>2695</v>
      </c>
      <c r="E413" s="69">
        <v>3.065141974E9</v>
      </c>
      <c r="F413" s="70" t="s">
        <v>2696</v>
      </c>
      <c r="G413" s="63"/>
      <c r="H413" s="26"/>
      <c r="I413" s="66"/>
    </row>
    <row r="414" ht="15.75" customHeight="1">
      <c r="A414" s="71">
        <v>45850.0</v>
      </c>
      <c r="B414" s="29">
        <v>411.0</v>
      </c>
      <c r="C414" s="68" t="s">
        <v>2697</v>
      </c>
      <c r="D414" s="68" t="s">
        <v>2698</v>
      </c>
      <c r="E414" s="69">
        <v>6.586610495E9</v>
      </c>
      <c r="F414" s="70" t="s">
        <v>2699</v>
      </c>
      <c r="G414" s="63"/>
      <c r="H414" s="26"/>
      <c r="I414" s="66"/>
    </row>
    <row r="415" ht="15.75" customHeight="1">
      <c r="A415" s="71">
        <v>45850.0</v>
      </c>
      <c r="B415" s="29">
        <v>412.0</v>
      </c>
      <c r="C415" s="68" t="s">
        <v>2700</v>
      </c>
      <c r="D415" s="68" t="s">
        <v>2701</v>
      </c>
      <c r="E415" s="69">
        <v>2.049529138E9</v>
      </c>
      <c r="F415" s="70" t="s">
        <v>2702</v>
      </c>
      <c r="G415" s="63"/>
      <c r="H415" s="26"/>
      <c r="I415" s="66"/>
    </row>
    <row r="416" ht="15.75" customHeight="1">
      <c r="A416" s="71">
        <v>45850.0</v>
      </c>
      <c r="B416" s="29">
        <v>413.0</v>
      </c>
      <c r="C416" s="68" t="s">
        <v>2424</v>
      </c>
      <c r="D416" s="68" t="s">
        <v>2703</v>
      </c>
      <c r="E416" s="69">
        <v>3.064797997E9</v>
      </c>
      <c r="F416" s="70" t="s">
        <v>2704</v>
      </c>
      <c r="G416" s="63"/>
      <c r="H416" s="26"/>
      <c r="I416" s="66"/>
    </row>
    <row r="417" ht="15.75" customHeight="1">
      <c r="A417" s="71">
        <v>45850.0</v>
      </c>
      <c r="B417" s="29">
        <v>414.0</v>
      </c>
      <c r="C417" s="68" t="s">
        <v>2705</v>
      </c>
      <c r="D417" s="68" t="s">
        <v>2706</v>
      </c>
      <c r="E417" s="69">
        <v>4.38370473E9</v>
      </c>
      <c r="F417" s="70" t="s">
        <v>2707</v>
      </c>
      <c r="G417" s="63"/>
      <c r="H417" s="26"/>
      <c r="I417" s="66"/>
    </row>
    <row r="418" ht="15.75" customHeight="1">
      <c r="A418" s="71">
        <v>45851.0</v>
      </c>
      <c r="B418" s="29">
        <v>415.0</v>
      </c>
      <c r="C418" s="68" t="s">
        <v>2708</v>
      </c>
      <c r="D418" s="68" t="s">
        <v>2709</v>
      </c>
      <c r="E418" s="69">
        <v>3.065306111E9</v>
      </c>
      <c r="F418" s="70" t="s">
        <v>2710</v>
      </c>
      <c r="G418" s="63"/>
      <c r="H418" s="26"/>
      <c r="I418" s="66"/>
    </row>
    <row r="419" ht="15.75" customHeight="1">
      <c r="A419" s="71">
        <v>45851.0</v>
      </c>
      <c r="B419" s="29">
        <v>416.0</v>
      </c>
      <c r="C419" s="68" t="s">
        <v>2711</v>
      </c>
      <c r="D419" s="68" t="s">
        <v>2712</v>
      </c>
      <c r="E419" s="69">
        <v>6.399941161E9</v>
      </c>
      <c r="F419" s="70" t="s">
        <v>2713</v>
      </c>
      <c r="G419" s="63"/>
      <c r="H419" s="26"/>
      <c r="I419" s="66"/>
    </row>
    <row r="420" ht="15.75" customHeight="1">
      <c r="A420" s="71">
        <v>45851.0</v>
      </c>
      <c r="B420" s="29">
        <v>417.0</v>
      </c>
      <c r="C420" s="68" t="s">
        <v>2714</v>
      </c>
      <c r="D420" s="68" t="s">
        <v>2715</v>
      </c>
      <c r="E420" s="69">
        <v>5.73115828603E11</v>
      </c>
      <c r="F420" s="70" t="s">
        <v>2716</v>
      </c>
      <c r="G420" s="63"/>
      <c r="H420" s="26"/>
      <c r="I420" s="66"/>
    </row>
    <row r="421" ht="15.75" customHeight="1">
      <c r="A421" s="71">
        <v>45851.0</v>
      </c>
      <c r="B421" s="29">
        <v>418.0</v>
      </c>
      <c r="C421" s="68" t="s">
        <v>2717</v>
      </c>
      <c r="D421" s="68" t="s">
        <v>2718</v>
      </c>
      <c r="E421" s="69">
        <v>2.268864983E9</v>
      </c>
      <c r="F421" s="70" t="s">
        <v>2719</v>
      </c>
      <c r="G421" s="63"/>
      <c r="H421" s="26"/>
      <c r="I421" s="66"/>
    </row>
    <row r="422" ht="15.75" customHeight="1">
      <c r="A422" s="71">
        <v>45851.0</v>
      </c>
      <c r="B422" s="29">
        <v>419.0</v>
      </c>
      <c r="C422" s="68" t="s">
        <v>2720</v>
      </c>
      <c r="D422" s="68" t="s">
        <v>2721</v>
      </c>
      <c r="E422" s="69">
        <v>5.062290368E9</v>
      </c>
      <c r="F422" s="70" t="s">
        <v>2722</v>
      </c>
      <c r="G422" s="63"/>
      <c r="H422" s="26"/>
      <c r="I422" s="66"/>
    </row>
    <row r="423" ht="15.75" customHeight="1">
      <c r="A423" s="71">
        <v>45851.0</v>
      </c>
      <c r="B423" s="29">
        <v>420.0</v>
      </c>
      <c r="C423" s="68" t="s">
        <v>2723</v>
      </c>
      <c r="D423" s="68" t="s">
        <v>2724</v>
      </c>
      <c r="E423" s="69">
        <v>3.062016838E9</v>
      </c>
      <c r="F423" s="70" t="s">
        <v>2725</v>
      </c>
      <c r="G423" s="63"/>
      <c r="H423" s="26"/>
      <c r="I423" s="66"/>
    </row>
    <row r="424" ht="15.75" customHeight="1">
      <c r="A424" s="71">
        <v>45851.0</v>
      </c>
      <c r="B424" s="29">
        <v>421.0</v>
      </c>
      <c r="C424" s="68" t="s">
        <v>2726</v>
      </c>
      <c r="D424" s="68" t="s">
        <v>2727</v>
      </c>
      <c r="E424" s="69">
        <v>2.049904326E9</v>
      </c>
      <c r="F424" s="70" t="s">
        <v>2728</v>
      </c>
      <c r="G424" s="63"/>
      <c r="H424" s="26"/>
      <c r="I424" s="66"/>
    </row>
    <row r="425" ht="15.75" customHeight="1">
      <c r="A425" s="71">
        <v>45852.0</v>
      </c>
      <c r="B425" s="29">
        <v>422.0</v>
      </c>
      <c r="C425" s="68" t="s">
        <v>2729</v>
      </c>
      <c r="D425" s="68" t="s">
        <v>2730</v>
      </c>
      <c r="E425" s="69">
        <v>9.029575541E9</v>
      </c>
      <c r="F425" s="70" t="s">
        <v>2731</v>
      </c>
      <c r="G425" s="63"/>
      <c r="H425" s="26"/>
      <c r="I425" s="66"/>
    </row>
    <row r="426" ht="15.75" customHeight="1">
      <c r="A426" s="71">
        <v>45853.0</v>
      </c>
      <c r="B426" s="29">
        <v>423.0</v>
      </c>
      <c r="C426" s="68" t="s">
        <v>2732</v>
      </c>
      <c r="D426" s="68" t="s">
        <v>2733</v>
      </c>
      <c r="E426" s="69">
        <v>8.19355275E9</v>
      </c>
      <c r="F426" s="70" t="s">
        <v>2734</v>
      </c>
      <c r="G426" s="63"/>
      <c r="H426" s="26"/>
      <c r="I426" s="66"/>
    </row>
    <row r="427" ht="15.75" customHeight="1">
      <c r="A427" s="71">
        <v>45853.0</v>
      </c>
      <c r="B427" s="29">
        <v>424.0</v>
      </c>
      <c r="C427" s="68" t="s">
        <v>2735</v>
      </c>
      <c r="D427" s="68" t="s">
        <v>2736</v>
      </c>
      <c r="E427" s="69">
        <v>9.028143639E9</v>
      </c>
      <c r="F427" s="70" t="s">
        <v>2737</v>
      </c>
      <c r="G427" s="63"/>
      <c r="H427" s="26"/>
      <c r="I427" s="66"/>
    </row>
    <row r="428" ht="15.75" customHeight="1">
      <c r="A428" s="71">
        <v>45854.0</v>
      </c>
      <c r="B428" s="29">
        <v>425.0</v>
      </c>
      <c r="C428" s="68" t="s">
        <v>2738</v>
      </c>
      <c r="D428" s="68" t="s">
        <v>2001</v>
      </c>
      <c r="E428" s="69">
        <v>8.198606245E9</v>
      </c>
      <c r="F428" s="70" t="s">
        <v>2739</v>
      </c>
      <c r="G428" s="63"/>
      <c r="H428" s="26"/>
      <c r="I428" s="66"/>
    </row>
    <row r="429" ht="15.75" customHeight="1">
      <c r="A429" s="71">
        <v>45854.0</v>
      </c>
      <c r="B429" s="29">
        <v>426.0</v>
      </c>
      <c r="C429" s="68" t="s">
        <v>2443</v>
      </c>
      <c r="D429" s="68" t="s">
        <v>2740</v>
      </c>
      <c r="E429" s="69">
        <v>2.049810182E9</v>
      </c>
      <c r="F429" s="70" t="s">
        <v>2741</v>
      </c>
      <c r="G429" s="63"/>
      <c r="H429" s="26"/>
      <c r="I429" s="66"/>
    </row>
    <row r="430" ht="15.75" customHeight="1">
      <c r="A430" s="71">
        <v>45854.0</v>
      </c>
      <c r="B430" s="29">
        <v>427.0</v>
      </c>
      <c r="C430" s="68" t="s">
        <v>1198</v>
      </c>
      <c r="D430" s="68" t="s">
        <v>2742</v>
      </c>
      <c r="E430" s="69">
        <v>9.02565921E9</v>
      </c>
      <c r="F430" s="70" t="s">
        <v>2743</v>
      </c>
      <c r="G430" s="63"/>
      <c r="H430" s="26"/>
      <c r="I430" s="66"/>
    </row>
    <row r="431" ht="15.75" customHeight="1">
      <c r="A431" s="71">
        <v>45854.0</v>
      </c>
      <c r="B431" s="29">
        <v>428.0</v>
      </c>
      <c r="C431" s="68" t="s">
        <v>2744</v>
      </c>
      <c r="D431" s="68" t="s">
        <v>2745</v>
      </c>
      <c r="E431" s="69">
        <v>2.262245498E9</v>
      </c>
      <c r="F431" s="70" t="s">
        <v>2746</v>
      </c>
      <c r="G431" s="63"/>
      <c r="H431" s="26"/>
      <c r="I431" s="66"/>
    </row>
    <row r="432" ht="15.75" customHeight="1">
      <c r="A432" s="71">
        <v>45855.0</v>
      </c>
      <c r="B432" s="29">
        <v>429.0</v>
      </c>
      <c r="C432" s="68" t="s">
        <v>1049</v>
      </c>
      <c r="D432" s="68" t="s">
        <v>2747</v>
      </c>
      <c r="E432" s="69">
        <v>2.044066488E9</v>
      </c>
      <c r="F432" s="70" t="s">
        <v>2748</v>
      </c>
      <c r="G432" s="63"/>
      <c r="H432" s="26"/>
      <c r="I432" s="66"/>
    </row>
    <row r="433" ht="15.75" customHeight="1">
      <c r="A433" s="71">
        <v>45855.0</v>
      </c>
      <c r="B433" s="29">
        <v>430.0</v>
      </c>
      <c r="C433" s="68" t="s">
        <v>1150</v>
      </c>
      <c r="D433" s="68" t="s">
        <v>2749</v>
      </c>
      <c r="E433" s="69">
        <v>5.812348184E9</v>
      </c>
      <c r="F433" s="70" t="s">
        <v>2750</v>
      </c>
      <c r="G433" s="63"/>
      <c r="H433" s="26"/>
      <c r="I433" s="66"/>
    </row>
    <row r="434" ht="15.75" customHeight="1">
      <c r="A434" s="71">
        <v>45855.0</v>
      </c>
      <c r="B434" s="29">
        <v>431.0</v>
      </c>
      <c r="C434" s="68" t="s">
        <v>2352</v>
      </c>
      <c r="D434" s="68" t="s">
        <v>2751</v>
      </c>
      <c r="E434" s="69">
        <v>3.063844967E9</v>
      </c>
      <c r="F434" s="70" t="s">
        <v>2752</v>
      </c>
      <c r="G434" s="63"/>
      <c r="H434" s="26"/>
      <c r="I434" s="66"/>
    </row>
    <row r="435" ht="15.75" customHeight="1">
      <c r="A435" s="71">
        <v>45855.0</v>
      </c>
      <c r="B435" s="29">
        <v>432.0</v>
      </c>
      <c r="C435" s="68" t="s">
        <v>2753</v>
      </c>
      <c r="D435" s="68" t="s">
        <v>2754</v>
      </c>
      <c r="E435" s="69">
        <v>7.058084405E9</v>
      </c>
      <c r="F435" s="70" t="s">
        <v>2755</v>
      </c>
      <c r="G435" s="63"/>
      <c r="H435" s="26"/>
      <c r="I435" s="66"/>
    </row>
    <row r="436" ht="15.75" customHeight="1">
      <c r="A436" s="71">
        <v>45856.0</v>
      </c>
      <c r="B436" s="29">
        <v>433.0</v>
      </c>
      <c r="C436" s="68" t="s">
        <v>873</v>
      </c>
      <c r="D436" s="68" t="s">
        <v>2756</v>
      </c>
      <c r="E436" s="69">
        <v>9.02439219E9</v>
      </c>
      <c r="F436" s="70" t="s">
        <v>2757</v>
      </c>
      <c r="G436" s="63"/>
      <c r="H436" s="26"/>
      <c r="I436" s="66"/>
    </row>
    <row r="437" ht="15.75" customHeight="1">
      <c r="A437" s="71">
        <v>45857.0</v>
      </c>
      <c r="B437" s="29">
        <v>434.0</v>
      </c>
      <c r="C437" s="68" t="s">
        <v>2758</v>
      </c>
      <c r="D437" s="68" t="s">
        <v>2759</v>
      </c>
      <c r="E437" s="69">
        <v>4.182978717E9</v>
      </c>
      <c r="F437" s="70" t="s">
        <v>2760</v>
      </c>
      <c r="G437" s="63"/>
      <c r="H437" s="26"/>
      <c r="I437" s="66"/>
    </row>
    <row r="438" ht="15.75" customHeight="1">
      <c r="A438" s="71">
        <v>45857.0</v>
      </c>
      <c r="B438" s="29">
        <v>435.0</v>
      </c>
      <c r="C438" s="68" t="s">
        <v>2259</v>
      </c>
      <c r="D438" s="68" t="s">
        <v>2761</v>
      </c>
      <c r="E438" s="69">
        <v>3.062206917E9</v>
      </c>
      <c r="F438" s="70" t="s">
        <v>2762</v>
      </c>
      <c r="G438" s="63"/>
      <c r="H438" s="26"/>
      <c r="I438" s="66"/>
    </row>
    <row r="439" ht="15.75" customHeight="1">
      <c r="A439" s="71">
        <v>45857.0</v>
      </c>
      <c r="B439" s="29">
        <v>436.0</v>
      </c>
      <c r="C439" s="68" t="s">
        <v>2763</v>
      </c>
      <c r="D439" s="68" t="s">
        <v>2764</v>
      </c>
      <c r="E439" s="69">
        <v>3.068508047E9</v>
      </c>
      <c r="F439" s="70" t="s">
        <v>2765</v>
      </c>
      <c r="G439" s="63"/>
      <c r="H439" s="26"/>
      <c r="I439" s="66"/>
    </row>
    <row r="440" ht="15.75" customHeight="1">
      <c r="A440" s="71">
        <v>45857.0</v>
      </c>
      <c r="B440" s="29">
        <v>437.0</v>
      </c>
      <c r="C440" s="68" t="s">
        <v>2288</v>
      </c>
      <c r="D440" s="68" t="s">
        <v>2766</v>
      </c>
      <c r="E440" s="69">
        <v>3.063214737E9</v>
      </c>
      <c r="F440" s="70" t="s">
        <v>2767</v>
      </c>
      <c r="G440" s="63"/>
      <c r="H440" s="26"/>
      <c r="I440" s="66"/>
    </row>
    <row r="441" ht="15.75" customHeight="1">
      <c r="A441" s="71">
        <v>45857.0</v>
      </c>
      <c r="B441" s="29">
        <v>438.0</v>
      </c>
      <c r="C441" s="68" t="s">
        <v>2768</v>
      </c>
      <c r="D441" s="68" t="s">
        <v>1911</v>
      </c>
      <c r="E441" s="69">
        <v>3.435808234E9</v>
      </c>
      <c r="F441" s="70" t="s">
        <v>2769</v>
      </c>
      <c r="G441" s="63"/>
      <c r="H441" s="26"/>
      <c r="I441" s="66"/>
    </row>
    <row r="442" ht="15.75" customHeight="1">
      <c r="A442" s="71">
        <v>45857.0</v>
      </c>
      <c r="B442" s="29">
        <v>439.0</v>
      </c>
      <c r="C442" s="68" t="s">
        <v>2770</v>
      </c>
      <c r="D442" s="68" t="s">
        <v>2771</v>
      </c>
      <c r="E442" s="69">
        <v>5.062694673E9</v>
      </c>
      <c r="F442" s="70" t="s">
        <v>2772</v>
      </c>
      <c r="G442" s="63"/>
      <c r="H442" s="26"/>
      <c r="I442" s="66"/>
    </row>
    <row r="443" ht="15.75" customHeight="1">
      <c r="A443" s="71">
        <v>45858.0</v>
      </c>
      <c r="B443" s="29">
        <v>440.0</v>
      </c>
      <c r="C443" s="68" t="s">
        <v>1554</v>
      </c>
      <c r="D443" s="68" t="s">
        <v>2773</v>
      </c>
      <c r="E443" s="69">
        <v>7.802080279E9</v>
      </c>
      <c r="F443" s="70" t="s">
        <v>2774</v>
      </c>
      <c r="G443" s="63"/>
      <c r="H443" s="26"/>
      <c r="I443" s="66"/>
    </row>
    <row r="444" ht="15.75" customHeight="1">
      <c r="A444" s="71">
        <v>45858.0</v>
      </c>
      <c r="B444" s="29">
        <v>441.0</v>
      </c>
      <c r="C444" s="68" t="s">
        <v>2775</v>
      </c>
      <c r="D444" s="68" t="s">
        <v>2776</v>
      </c>
      <c r="E444" s="69">
        <v>4.31998001E9</v>
      </c>
      <c r="F444" s="70" t="s">
        <v>2777</v>
      </c>
      <c r="G444" s="63"/>
      <c r="H444" s="26"/>
      <c r="I444" s="66"/>
    </row>
    <row r="445" ht="15.75" customHeight="1">
      <c r="A445" s="71">
        <v>45858.0</v>
      </c>
      <c r="B445" s="29">
        <v>442.0</v>
      </c>
      <c r="C445" s="68" t="s">
        <v>2778</v>
      </c>
      <c r="D445" s="68" t="s">
        <v>2779</v>
      </c>
      <c r="E445" s="69">
        <v>4.312939851E9</v>
      </c>
      <c r="F445" s="70" t="s">
        <v>2780</v>
      </c>
      <c r="G445" s="63"/>
      <c r="H445" s="26"/>
      <c r="I445" s="66"/>
    </row>
    <row r="446" ht="15.75" customHeight="1">
      <c r="A446" s="71">
        <v>45859.0</v>
      </c>
      <c r="B446" s="29">
        <v>443.0</v>
      </c>
      <c r="C446" s="68" t="s">
        <v>2243</v>
      </c>
      <c r="D446" s="68" t="s">
        <v>2781</v>
      </c>
      <c r="E446" s="69">
        <v>7.802885843E9</v>
      </c>
      <c r="F446" s="70" t="s">
        <v>2782</v>
      </c>
      <c r="G446" s="63"/>
      <c r="H446" s="26"/>
      <c r="I446" s="66"/>
    </row>
    <row r="447" ht="15.75" customHeight="1">
      <c r="A447" s="71">
        <v>45859.0</v>
      </c>
      <c r="B447" s="29">
        <v>444.0</v>
      </c>
      <c r="C447" s="68" t="s">
        <v>2539</v>
      </c>
      <c r="D447" s="68" t="s">
        <v>2783</v>
      </c>
      <c r="E447" s="69">
        <v>3.066920519E9</v>
      </c>
      <c r="F447" s="70" t="s">
        <v>2784</v>
      </c>
      <c r="G447" s="63"/>
      <c r="H447" s="26"/>
      <c r="I447" s="66"/>
    </row>
    <row r="448" ht="15.75" customHeight="1">
      <c r="A448" s="71">
        <v>45859.0</v>
      </c>
      <c r="B448" s="29">
        <v>445.0</v>
      </c>
      <c r="C448" s="68" t="s">
        <v>2785</v>
      </c>
      <c r="D448" s="68" t="s">
        <v>2786</v>
      </c>
      <c r="E448" s="69">
        <v>7.80965267E9</v>
      </c>
      <c r="F448" s="70" t="s">
        <v>2787</v>
      </c>
      <c r="G448" s="63"/>
      <c r="H448" s="26"/>
      <c r="I448" s="66"/>
    </row>
    <row r="449" ht="15.75" customHeight="1">
      <c r="A449" s="71">
        <v>45859.0</v>
      </c>
      <c r="B449" s="29">
        <v>446.0</v>
      </c>
      <c r="C449" s="68" t="s">
        <v>1931</v>
      </c>
      <c r="D449" s="68" t="s">
        <v>2577</v>
      </c>
      <c r="E449" s="69">
        <v>2.50692951E9</v>
      </c>
      <c r="F449" s="70" t="s">
        <v>2788</v>
      </c>
      <c r="G449" s="63"/>
      <c r="H449" s="26"/>
      <c r="I449" s="66"/>
    </row>
    <row r="450" ht="15.75" customHeight="1">
      <c r="A450" s="71">
        <v>45860.0</v>
      </c>
      <c r="B450" s="29">
        <v>447.0</v>
      </c>
      <c r="C450" s="68" t="s">
        <v>1147</v>
      </c>
      <c r="D450" s="68" t="s">
        <v>2789</v>
      </c>
      <c r="E450" s="69">
        <v>5.069530133E9</v>
      </c>
      <c r="F450" s="70" t="s">
        <v>2790</v>
      </c>
      <c r="G450" s="63"/>
      <c r="H450" s="26"/>
      <c r="I450" s="66"/>
    </row>
    <row r="451" ht="15.75" customHeight="1">
      <c r="A451" s="71">
        <v>45860.0</v>
      </c>
      <c r="B451" s="29">
        <v>448.0</v>
      </c>
      <c r="C451" s="68" t="s">
        <v>2791</v>
      </c>
      <c r="D451" s="68" t="s">
        <v>2792</v>
      </c>
      <c r="E451" s="69">
        <v>3.069607732E9</v>
      </c>
      <c r="F451" s="70" t="s">
        <v>2793</v>
      </c>
      <c r="G451" s="63"/>
      <c r="H451" s="26"/>
      <c r="I451" s="66"/>
    </row>
    <row r="452" ht="15.75" customHeight="1">
      <c r="A452" s="71">
        <v>45860.0</v>
      </c>
      <c r="B452" s="29">
        <v>449.0</v>
      </c>
      <c r="C452" s="68" t="s">
        <v>2794</v>
      </c>
      <c r="D452" s="68" t="s">
        <v>2795</v>
      </c>
      <c r="E452" s="69">
        <v>4.315573539E9</v>
      </c>
      <c r="F452" s="70" t="s">
        <v>2796</v>
      </c>
      <c r="G452" s="63"/>
      <c r="H452" s="26"/>
      <c r="I452" s="66"/>
    </row>
    <row r="453" ht="15.75" customHeight="1">
      <c r="A453" s="71">
        <v>45860.0</v>
      </c>
      <c r="B453" s="29">
        <v>450.0</v>
      </c>
      <c r="C453" s="68" t="s">
        <v>2797</v>
      </c>
      <c r="D453" s="68" t="s">
        <v>2798</v>
      </c>
      <c r="E453" s="69">
        <v>2.506439395E9</v>
      </c>
      <c r="F453" s="70" t="s">
        <v>2799</v>
      </c>
      <c r="G453" s="63"/>
      <c r="H453" s="26"/>
      <c r="I453" s="66"/>
    </row>
    <row r="454" ht="15.75" customHeight="1">
      <c r="A454" s="71">
        <v>45861.0</v>
      </c>
      <c r="B454" s="29">
        <v>451.0</v>
      </c>
      <c r="C454" s="68" t="s">
        <v>823</v>
      </c>
      <c r="D454" s="68" t="s">
        <v>2800</v>
      </c>
      <c r="E454" s="69">
        <v>5.819824523E9</v>
      </c>
      <c r="F454" s="70" t="s">
        <v>2801</v>
      </c>
      <c r="G454" s="63"/>
      <c r="H454" s="26"/>
      <c r="I454" s="66"/>
    </row>
    <row r="455" ht="15.75" customHeight="1">
      <c r="A455" s="71">
        <v>45861.0</v>
      </c>
      <c r="B455" s="29">
        <v>452.0</v>
      </c>
      <c r="C455" s="68" t="s">
        <v>2802</v>
      </c>
      <c r="D455" s="68" t="s">
        <v>2803</v>
      </c>
      <c r="E455" s="69">
        <v>2.048995054E9</v>
      </c>
      <c r="F455" s="70" t="s">
        <v>2804</v>
      </c>
      <c r="G455" s="63"/>
      <c r="H455" s="26"/>
      <c r="I455" s="66"/>
    </row>
    <row r="456" ht="15.75" customHeight="1">
      <c r="A456" s="71">
        <v>45861.0</v>
      </c>
      <c r="B456" s="29">
        <v>453.0</v>
      </c>
      <c r="C456" s="68" t="s">
        <v>2666</v>
      </c>
      <c r="D456" s="68" t="s">
        <v>2805</v>
      </c>
      <c r="E456" s="69">
        <v>3.069605545E9</v>
      </c>
      <c r="F456" s="70" t="s">
        <v>2806</v>
      </c>
      <c r="G456" s="63"/>
      <c r="H456" s="26"/>
      <c r="I456" s="66"/>
    </row>
    <row r="457" ht="15.75" customHeight="1">
      <c r="A457" s="71">
        <v>45861.0</v>
      </c>
      <c r="B457" s="29">
        <v>454.0</v>
      </c>
      <c r="C457" s="68" t="s">
        <v>1509</v>
      </c>
      <c r="D457" s="68" t="s">
        <v>2807</v>
      </c>
      <c r="E457" s="69">
        <v>7.785382431E9</v>
      </c>
      <c r="F457" s="70" t="s">
        <v>2808</v>
      </c>
      <c r="G457" s="63"/>
      <c r="H457" s="26"/>
      <c r="I457" s="66"/>
    </row>
    <row r="458" ht="15.75" customHeight="1">
      <c r="A458" s="71">
        <v>45862.0</v>
      </c>
      <c r="B458" s="29">
        <v>455.0</v>
      </c>
      <c r="C458" s="68" t="s">
        <v>2372</v>
      </c>
      <c r="D458" s="68" t="s">
        <v>2809</v>
      </c>
      <c r="E458" s="69">
        <v>5.068743999E9</v>
      </c>
      <c r="F458" s="70" t="s">
        <v>2810</v>
      </c>
      <c r="G458" s="63"/>
      <c r="H458" s="26"/>
      <c r="I458" s="66"/>
    </row>
    <row r="459" ht="15.75" customHeight="1">
      <c r="A459" s="71">
        <v>45862.0</v>
      </c>
      <c r="B459" s="29">
        <v>456.0</v>
      </c>
      <c r="C459" s="68" t="s">
        <v>926</v>
      </c>
      <c r="D459" s="68" t="s">
        <v>2811</v>
      </c>
      <c r="E459" s="69">
        <v>5.063883642E9</v>
      </c>
      <c r="F459" s="70" t="s">
        <v>2812</v>
      </c>
      <c r="G459" s="63"/>
      <c r="H459" s="26"/>
      <c r="I459" s="66"/>
    </row>
    <row r="460" ht="15.75" customHeight="1">
      <c r="A460" s="71">
        <v>45862.0</v>
      </c>
      <c r="B460" s="29">
        <v>457.0</v>
      </c>
      <c r="C460" s="68" t="s">
        <v>2813</v>
      </c>
      <c r="D460" s="68" t="s">
        <v>936</v>
      </c>
      <c r="E460" s="69">
        <v>7.807009047E9</v>
      </c>
      <c r="F460" s="70" t="s">
        <v>2814</v>
      </c>
      <c r="G460" s="63"/>
      <c r="H460" s="26"/>
      <c r="I460" s="66"/>
    </row>
    <row r="461" ht="15.75" customHeight="1">
      <c r="A461" s="71">
        <v>45862.0</v>
      </c>
      <c r="B461" s="29">
        <v>458.0</v>
      </c>
      <c r="C461" s="68" t="s">
        <v>2815</v>
      </c>
      <c r="D461" s="68" t="s">
        <v>2816</v>
      </c>
      <c r="E461" s="69">
        <v>7.094245306E9</v>
      </c>
      <c r="F461" s="70" t="s">
        <v>2817</v>
      </c>
      <c r="G461" s="63"/>
      <c r="H461" s="26"/>
      <c r="I461" s="66"/>
    </row>
    <row r="462" ht="15.75" customHeight="1">
      <c r="A462" s="71">
        <v>45862.0</v>
      </c>
      <c r="B462" s="29">
        <v>459.0</v>
      </c>
      <c r="C462" s="68" t="s">
        <v>2818</v>
      </c>
      <c r="D462" s="68" t="s">
        <v>2819</v>
      </c>
      <c r="E462" s="69">
        <v>6.13262644E9</v>
      </c>
      <c r="F462" s="70" t="s">
        <v>2820</v>
      </c>
      <c r="G462" s="63"/>
      <c r="H462" s="26"/>
      <c r="I462" s="66"/>
    </row>
    <row r="463" ht="15.75" customHeight="1">
      <c r="A463" s="71">
        <v>45862.0</v>
      </c>
      <c r="B463" s="29">
        <v>460.0</v>
      </c>
      <c r="C463" s="68" t="s">
        <v>2821</v>
      </c>
      <c r="D463" s="68" t="s">
        <v>2822</v>
      </c>
      <c r="E463" s="69">
        <v>6.136126923E9</v>
      </c>
      <c r="F463" s="70" t="s">
        <v>2823</v>
      </c>
      <c r="G463" s="63"/>
      <c r="H463" s="26"/>
      <c r="I463" s="66"/>
    </row>
    <row r="464" ht="15.75" customHeight="1">
      <c r="A464" s="71">
        <v>45862.0</v>
      </c>
      <c r="B464" s="29">
        <v>461.0</v>
      </c>
      <c r="C464" s="68" t="s">
        <v>2824</v>
      </c>
      <c r="D464" s="68" t="s">
        <v>2825</v>
      </c>
      <c r="E464" s="69">
        <v>5.813994814E9</v>
      </c>
      <c r="F464" s="70" t="s">
        <v>2826</v>
      </c>
      <c r="G464" s="63"/>
      <c r="H464" s="26"/>
      <c r="I464" s="66"/>
    </row>
    <row r="465" ht="15.75" customHeight="1">
      <c r="A465" s="71">
        <v>45862.0</v>
      </c>
      <c r="B465" s="29">
        <v>462.0</v>
      </c>
      <c r="C465" s="68" t="s">
        <v>2418</v>
      </c>
      <c r="D465" s="68" t="s">
        <v>2827</v>
      </c>
      <c r="E465" s="69">
        <v>5.0687132954E10</v>
      </c>
      <c r="F465" s="70" t="s">
        <v>2828</v>
      </c>
      <c r="G465" s="63"/>
      <c r="H465" s="26"/>
      <c r="I465" s="66"/>
    </row>
    <row r="466" ht="15.75" customHeight="1">
      <c r="A466" s="71">
        <v>45863.0</v>
      </c>
      <c r="B466" s="29">
        <v>463.0</v>
      </c>
      <c r="C466" s="68" t="s">
        <v>2829</v>
      </c>
      <c r="D466" s="68" t="s">
        <v>2830</v>
      </c>
      <c r="E466" s="69">
        <v>7.807999908E9</v>
      </c>
      <c r="F466" s="70" t="s">
        <v>2831</v>
      </c>
      <c r="G466" s="63"/>
      <c r="H466" s="26"/>
      <c r="I466" s="66"/>
    </row>
    <row r="467" ht="15.75" customHeight="1">
      <c r="A467" s="71">
        <v>45863.0</v>
      </c>
      <c r="B467" s="29">
        <v>464.0</v>
      </c>
      <c r="C467" s="68" t="s">
        <v>2832</v>
      </c>
      <c r="D467" s="68" t="s">
        <v>2833</v>
      </c>
      <c r="E467" s="69">
        <v>7.802977264E9</v>
      </c>
      <c r="F467" s="70" t="s">
        <v>2834</v>
      </c>
      <c r="G467" s="63"/>
      <c r="H467" s="26"/>
      <c r="I467" s="66"/>
    </row>
    <row r="468" ht="15.75" customHeight="1">
      <c r="A468" s="71">
        <v>45864.0</v>
      </c>
      <c r="B468" s="29">
        <v>465.0</v>
      </c>
      <c r="C468" s="68" t="s">
        <v>1794</v>
      </c>
      <c r="D468" s="68" t="s">
        <v>2286</v>
      </c>
      <c r="E468" s="69">
        <v>6.133322489E9</v>
      </c>
      <c r="F468" s="70" t="s">
        <v>2835</v>
      </c>
      <c r="G468" s="63"/>
      <c r="H468" s="26"/>
      <c r="I468" s="66"/>
    </row>
    <row r="469" ht="15.75" customHeight="1">
      <c r="A469" s="71">
        <v>45864.0</v>
      </c>
      <c r="B469" s="29">
        <v>466.0</v>
      </c>
      <c r="C469" s="68" t="s">
        <v>2836</v>
      </c>
      <c r="D469" s="68" t="s">
        <v>2837</v>
      </c>
      <c r="E469" s="69">
        <v>2.1653462498E10</v>
      </c>
      <c r="F469" s="70" t="s">
        <v>2838</v>
      </c>
      <c r="G469" s="63"/>
      <c r="H469" s="26"/>
      <c r="I469" s="66"/>
    </row>
    <row r="470" ht="15.75" customHeight="1">
      <c r="A470" s="71">
        <v>45865.0</v>
      </c>
      <c r="B470" s="29">
        <v>467.0</v>
      </c>
      <c r="C470" s="68" t="s">
        <v>2839</v>
      </c>
      <c r="D470" s="68" t="s">
        <v>2840</v>
      </c>
      <c r="E470" s="69">
        <v>9.023292228E9</v>
      </c>
      <c r="F470" s="70" t="s">
        <v>2841</v>
      </c>
      <c r="G470" s="63"/>
      <c r="H470" s="26"/>
      <c r="I470" s="66"/>
    </row>
    <row r="471" ht="15.75" customHeight="1">
      <c r="A471" s="71">
        <v>45866.0</v>
      </c>
      <c r="B471" s="29">
        <v>468.0</v>
      </c>
      <c r="C471" s="68" t="s">
        <v>2842</v>
      </c>
      <c r="D471" s="68" t="s">
        <v>2843</v>
      </c>
      <c r="E471" s="69">
        <v>5.065886795E9</v>
      </c>
      <c r="F471" s="70" t="s">
        <v>2844</v>
      </c>
      <c r="G471" s="63"/>
      <c r="H471" s="26"/>
      <c r="I471" s="66"/>
    </row>
    <row r="472" ht="15.75" customHeight="1">
      <c r="A472" s="71">
        <v>45866.0</v>
      </c>
      <c r="B472" s="29">
        <v>469.0</v>
      </c>
      <c r="C472" s="68" t="s">
        <v>2845</v>
      </c>
      <c r="D472" s="68" t="s">
        <v>2846</v>
      </c>
      <c r="E472" s="69">
        <v>6.135618815E9</v>
      </c>
      <c r="F472" s="70" t="s">
        <v>2847</v>
      </c>
      <c r="G472" s="63"/>
      <c r="H472" s="26"/>
      <c r="I472" s="66"/>
    </row>
    <row r="473" ht="15.75" customHeight="1">
      <c r="A473" s="71">
        <v>45866.0</v>
      </c>
      <c r="B473" s="29">
        <v>470.0</v>
      </c>
      <c r="C473" s="68" t="s">
        <v>1037</v>
      </c>
      <c r="D473" s="68" t="s">
        <v>2848</v>
      </c>
      <c r="E473" s="69">
        <v>5.069610164E9</v>
      </c>
      <c r="F473" s="70" t="s">
        <v>2849</v>
      </c>
      <c r="G473" s="63"/>
      <c r="H473" s="26"/>
      <c r="I473" s="66"/>
    </row>
    <row r="474" ht="15.75" customHeight="1">
      <c r="A474" s="71">
        <v>45866.0</v>
      </c>
      <c r="B474" s="29">
        <v>471.0</v>
      </c>
      <c r="C474" s="68" t="s">
        <v>2850</v>
      </c>
      <c r="D474" s="68" t="s">
        <v>2851</v>
      </c>
      <c r="E474" s="69">
        <v>5.193183028E9</v>
      </c>
      <c r="F474" s="70" t="s">
        <v>2852</v>
      </c>
      <c r="G474" s="63"/>
      <c r="H474" s="26"/>
      <c r="I474" s="66"/>
    </row>
    <row r="475" ht="15.75" customHeight="1">
      <c r="A475" s="71">
        <v>45866.0</v>
      </c>
      <c r="B475" s="29">
        <v>472.0</v>
      </c>
      <c r="C475" s="68" t="s">
        <v>2853</v>
      </c>
      <c r="D475" s="68" t="s">
        <v>2854</v>
      </c>
      <c r="E475" s="69">
        <v>5.879691797E9</v>
      </c>
      <c r="F475" s="70" t="s">
        <v>2855</v>
      </c>
      <c r="G475" s="63"/>
      <c r="H475" s="26"/>
      <c r="I475" s="66"/>
    </row>
    <row r="476" ht="15.75" customHeight="1">
      <c r="A476" s="71">
        <v>45867.0</v>
      </c>
      <c r="B476" s="29">
        <v>473.0</v>
      </c>
      <c r="C476" s="68" t="s">
        <v>2856</v>
      </c>
      <c r="D476" s="68" t="s">
        <v>2857</v>
      </c>
      <c r="E476" s="69">
        <v>6.478293773E9</v>
      </c>
      <c r="F476" s="70" t="s">
        <v>2858</v>
      </c>
      <c r="G476" s="63"/>
      <c r="H476" s="26"/>
      <c r="I476" s="66"/>
    </row>
    <row r="477" ht="15.75" customHeight="1">
      <c r="A477" s="71">
        <v>45867.0</v>
      </c>
      <c r="B477" s="29">
        <v>474.0</v>
      </c>
      <c r="C477" s="68" t="s">
        <v>2387</v>
      </c>
      <c r="D477" s="68" t="s">
        <v>2859</v>
      </c>
      <c r="E477" s="69">
        <v>6.394710762E9</v>
      </c>
      <c r="F477" s="70" t="s">
        <v>2860</v>
      </c>
      <c r="G477" s="63"/>
      <c r="H477" s="26"/>
      <c r="I477" s="66"/>
    </row>
    <row r="478" ht="15.75" customHeight="1">
      <c r="A478" s="71">
        <v>45867.0</v>
      </c>
      <c r="B478" s="29">
        <v>475.0</v>
      </c>
      <c r="C478" s="68" t="s">
        <v>2861</v>
      </c>
      <c r="D478" s="68" t="s">
        <v>2862</v>
      </c>
      <c r="E478" s="69">
        <v>2.044960933E9</v>
      </c>
      <c r="F478" s="70" t="s">
        <v>2863</v>
      </c>
      <c r="G478" s="63"/>
      <c r="H478" s="26"/>
      <c r="I478" s="66"/>
    </row>
    <row r="479" ht="15.75" customHeight="1">
      <c r="A479" s="71">
        <v>45868.0</v>
      </c>
      <c r="B479" s="29">
        <v>476.0</v>
      </c>
      <c r="C479" s="68" t="s">
        <v>2864</v>
      </c>
      <c r="D479" s="68" t="s">
        <v>2865</v>
      </c>
      <c r="E479" s="69">
        <v>5.876434744E9</v>
      </c>
      <c r="F479" s="70" t="s">
        <v>2866</v>
      </c>
      <c r="G479" s="63"/>
      <c r="H479" s="26"/>
      <c r="I479" s="66"/>
    </row>
    <row r="480" ht="15.75" customHeight="1">
      <c r="A480" s="71">
        <v>45868.0</v>
      </c>
      <c r="B480" s="29">
        <v>477.0</v>
      </c>
      <c r="C480" s="68" t="s">
        <v>933</v>
      </c>
      <c r="D480" s="68" t="s">
        <v>2867</v>
      </c>
      <c r="E480" s="69">
        <v>5.877854855E9</v>
      </c>
      <c r="F480" s="70" t="s">
        <v>2868</v>
      </c>
      <c r="G480" s="63"/>
      <c r="H480" s="26"/>
      <c r="I480" s="66"/>
    </row>
    <row r="481" ht="15.75" customHeight="1">
      <c r="A481" s="71">
        <v>45868.0</v>
      </c>
      <c r="B481" s="29">
        <v>478.0</v>
      </c>
      <c r="C481" s="68" t="s">
        <v>1925</v>
      </c>
      <c r="D481" s="68" t="s">
        <v>1926</v>
      </c>
      <c r="E481" s="69">
        <v>2.503197997E9</v>
      </c>
      <c r="F481" s="70" t="s">
        <v>1927</v>
      </c>
      <c r="G481" s="63"/>
      <c r="H481" s="26"/>
      <c r="I481" s="66"/>
    </row>
    <row r="482" ht="15.75" customHeight="1">
      <c r="A482" s="71">
        <v>45868.0</v>
      </c>
      <c r="B482" s="29">
        <v>479.0</v>
      </c>
      <c r="C482" s="68" t="s">
        <v>2869</v>
      </c>
      <c r="D482" s="68" t="s">
        <v>2870</v>
      </c>
      <c r="E482" s="69">
        <v>5.066251046E9</v>
      </c>
      <c r="F482" s="70" t="s">
        <v>2871</v>
      </c>
      <c r="G482" s="63"/>
      <c r="H482" s="26"/>
      <c r="I482" s="66"/>
    </row>
    <row r="483" ht="15.75" customHeight="1">
      <c r="A483" s="71">
        <v>45868.0</v>
      </c>
      <c r="B483" s="29">
        <v>480.0</v>
      </c>
      <c r="C483" s="68" t="s">
        <v>2872</v>
      </c>
      <c r="D483" s="68" t="s">
        <v>2873</v>
      </c>
      <c r="E483" s="69">
        <v>2.049995849E9</v>
      </c>
      <c r="F483" s="70" t="s">
        <v>2874</v>
      </c>
      <c r="G483" s="63"/>
      <c r="H483" s="26"/>
      <c r="I483" s="66"/>
    </row>
    <row r="484" ht="15.75" customHeight="1">
      <c r="A484" s="71">
        <v>45868.0</v>
      </c>
      <c r="B484" s="29">
        <v>481.0</v>
      </c>
      <c r="C484" s="68" t="s">
        <v>2875</v>
      </c>
      <c r="D484" s="68" t="s">
        <v>428</v>
      </c>
      <c r="E484" s="69">
        <f>919895887794</f>
        <v>919895887794</v>
      </c>
      <c r="F484" s="70" t="s">
        <v>2876</v>
      </c>
      <c r="G484" s="63"/>
      <c r="H484" s="26"/>
      <c r="I484" s="66"/>
    </row>
    <row r="485" ht="15.75" customHeight="1">
      <c r="A485" s="71">
        <v>45869.0</v>
      </c>
      <c r="B485" s="29">
        <v>482.0</v>
      </c>
      <c r="C485" s="68" t="s">
        <v>2877</v>
      </c>
      <c r="D485" s="68" t="s">
        <v>2878</v>
      </c>
      <c r="E485" s="69">
        <v>4.185429438E9</v>
      </c>
      <c r="F485" s="70" t="s">
        <v>2879</v>
      </c>
      <c r="G485" s="63"/>
      <c r="H485" s="26"/>
      <c r="I485" s="66"/>
    </row>
    <row r="486" ht="15.75" customHeight="1">
      <c r="A486" s="71">
        <v>45869.0</v>
      </c>
      <c r="B486" s="29">
        <v>483.0</v>
      </c>
      <c r="C486" s="68" t="s">
        <v>2880</v>
      </c>
      <c r="D486" s="68" t="s">
        <v>2881</v>
      </c>
      <c r="E486" s="69">
        <v>5.06512029E9</v>
      </c>
      <c r="F486" s="70" t="s">
        <v>2882</v>
      </c>
      <c r="G486" s="63"/>
      <c r="H486" s="26"/>
      <c r="I486" s="66"/>
    </row>
    <row r="487" ht="15.75" customHeight="1">
      <c r="A487" s="71">
        <v>45869.0</v>
      </c>
      <c r="B487" s="29">
        <v>484.0</v>
      </c>
      <c r="C487" s="68" t="s">
        <v>2883</v>
      </c>
      <c r="D487" s="68" t="s">
        <v>19</v>
      </c>
      <c r="E487" s="69">
        <v>9.18288066685E11</v>
      </c>
      <c r="F487" s="70" t="s">
        <v>2884</v>
      </c>
      <c r="G487" s="63"/>
      <c r="H487" s="26"/>
      <c r="I487" s="66"/>
    </row>
    <row r="488" ht="15.75" customHeight="1">
      <c r="A488" s="71">
        <v>45870.0</v>
      </c>
      <c r="B488" s="29">
        <v>485.0</v>
      </c>
      <c r="C488" s="68" t="s">
        <v>2885</v>
      </c>
      <c r="D488" s="68" t="s">
        <v>2886</v>
      </c>
      <c r="E488" s="69">
        <v>2.262402416E9</v>
      </c>
      <c r="F488" s="70" t="s">
        <v>2887</v>
      </c>
      <c r="G488" s="63"/>
      <c r="H488" s="26"/>
      <c r="I488" s="66"/>
    </row>
    <row r="489" ht="15.75" customHeight="1">
      <c r="A489" s="71">
        <v>45870.0</v>
      </c>
      <c r="B489" s="29">
        <v>486.0</v>
      </c>
      <c r="C489" s="68" t="s">
        <v>2205</v>
      </c>
      <c r="D489" s="68" t="s">
        <v>2888</v>
      </c>
      <c r="E489" s="69">
        <v>5.874478045E9</v>
      </c>
      <c r="F489" s="70" t="s">
        <v>2889</v>
      </c>
      <c r="G489" s="63"/>
      <c r="H489" s="26"/>
      <c r="I489" s="66"/>
    </row>
    <row r="490" ht="15.75" customHeight="1">
      <c r="A490" s="71">
        <v>45870.0</v>
      </c>
      <c r="B490" s="29">
        <v>487.0</v>
      </c>
      <c r="C490" s="68" t="s">
        <v>2424</v>
      </c>
      <c r="D490" s="68" t="s">
        <v>2438</v>
      </c>
      <c r="E490" s="69">
        <v>3.065779788E9</v>
      </c>
      <c r="F490" s="70" t="s">
        <v>2890</v>
      </c>
      <c r="G490" s="63"/>
      <c r="H490" s="26"/>
      <c r="I490" s="66"/>
    </row>
    <row r="491" ht="15.75" customHeight="1">
      <c r="A491" s="71">
        <v>45870.0</v>
      </c>
      <c r="B491" s="29">
        <v>488.0</v>
      </c>
      <c r="C491" s="68" t="s">
        <v>2891</v>
      </c>
      <c r="D491" s="68" t="s">
        <v>1840</v>
      </c>
      <c r="E491" s="69">
        <v>5.878992401E9</v>
      </c>
      <c r="F491" s="70" t="s">
        <v>2892</v>
      </c>
      <c r="G491" s="63"/>
      <c r="H491" s="26"/>
      <c r="I491" s="66"/>
    </row>
    <row r="492" ht="15.75" customHeight="1">
      <c r="A492" s="71">
        <v>45870.0</v>
      </c>
      <c r="B492" s="29">
        <v>489.0</v>
      </c>
      <c r="C492" s="68" t="s">
        <v>2893</v>
      </c>
      <c r="D492" s="68" t="s">
        <v>2894</v>
      </c>
      <c r="E492" s="69">
        <v>8.195783E9</v>
      </c>
      <c r="F492" s="70" t="s">
        <v>2895</v>
      </c>
      <c r="G492" s="63"/>
      <c r="H492" s="26"/>
      <c r="I492" s="66"/>
    </row>
    <row r="493" ht="15.75" customHeight="1">
      <c r="A493" s="71">
        <v>45871.0</v>
      </c>
      <c r="B493" s="29">
        <v>490.0</v>
      </c>
      <c r="C493" s="68" t="s">
        <v>2896</v>
      </c>
      <c r="D493" s="68" t="s">
        <v>2580</v>
      </c>
      <c r="E493" s="69">
        <v>3.439895387E9</v>
      </c>
      <c r="F493" s="70" t="s">
        <v>2897</v>
      </c>
      <c r="G493" s="63"/>
      <c r="H493" s="26"/>
      <c r="I493" s="66"/>
    </row>
    <row r="494" ht="15.75" customHeight="1">
      <c r="A494" s="71">
        <v>45871.0</v>
      </c>
      <c r="B494" s="29">
        <v>491.0</v>
      </c>
      <c r="C494" s="68" t="s">
        <v>2898</v>
      </c>
      <c r="D494" s="68" t="s">
        <v>2899</v>
      </c>
      <c r="E494" s="69">
        <v>5.067871975E9</v>
      </c>
      <c r="F494" s="70" t="s">
        <v>2900</v>
      </c>
      <c r="G494" s="63"/>
      <c r="H494" s="26"/>
      <c r="I494" s="66"/>
    </row>
    <row r="495" ht="15.75" customHeight="1">
      <c r="A495" s="71">
        <v>45872.0</v>
      </c>
      <c r="B495" s="29">
        <v>492.0</v>
      </c>
      <c r="C495" s="68" t="s">
        <v>2901</v>
      </c>
      <c r="D495" s="68" t="s">
        <v>2902</v>
      </c>
      <c r="E495" s="69">
        <v>7.808685334E9</v>
      </c>
      <c r="F495" s="78" t="s">
        <v>2903</v>
      </c>
      <c r="G495" s="63"/>
      <c r="H495" s="26"/>
      <c r="I495" s="66"/>
    </row>
    <row r="496" ht="15.75" customHeight="1">
      <c r="A496" s="71">
        <v>45872.0</v>
      </c>
      <c r="B496" s="29">
        <v>493.0</v>
      </c>
      <c r="C496" s="68" t="s">
        <v>2904</v>
      </c>
      <c r="D496" s="68" t="s">
        <v>2905</v>
      </c>
      <c r="E496" s="69">
        <v>2.046880833E9</v>
      </c>
      <c r="F496" s="70" t="s">
        <v>2906</v>
      </c>
      <c r="G496" s="63"/>
      <c r="H496" s="26"/>
      <c r="I496" s="66"/>
    </row>
    <row r="497" ht="15.75" customHeight="1">
      <c r="A497" s="71">
        <v>45872.0</v>
      </c>
      <c r="B497" s="29">
        <v>494.0</v>
      </c>
      <c r="C497" s="68" t="s">
        <v>2907</v>
      </c>
      <c r="D497" s="68" t="s">
        <v>1900</v>
      </c>
      <c r="E497" s="69">
        <v>8.197436012E9</v>
      </c>
      <c r="F497" s="70" t="s">
        <v>2908</v>
      </c>
      <c r="G497" s="63"/>
      <c r="H497" s="26"/>
      <c r="I497" s="66"/>
    </row>
    <row r="498" ht="15.75" customHeight="1">
      <c r="A498" s="71">
        <v>45872.0</v>
      </c>
      <c r="B498" s="29">
        <v>495.0</v>
      </c>
      <c r="C498" s="68" t="s">
        <v>2909</v>
      </c>
      <c r="D498" s="68" t="s">
        <v>2910</v>
      </c>
      <c r="E498" s="69">
        <v>4.317262042E9</v>
      </c>
      <c r="F498" s="70" t="s">
        <v>2911</v>
      </c>
      <c r="G498" s="63"/>
      <c r="H498" s="26"/>
      <c r="I498" s="66"/>
    </row>
    <row r="499" ht="15.75" customHeight="1">
      <c r="A499" s="71">
        <v>45872.0</v>
      </c>
      <c r="B499" s="29">
        <v>496.0</v>
      </c>
      <c r="C499" s="68" t="s">
        <v>2912</v>
      </c>
      <c r="D499" s="68" t="s">
        <v>1009</v>
      </c>
      <c r="E499" s="69">
        <v>8.07355999E9</v>
      </c>
      <c r="F499" s="70" t="s">
        <v>2913</v>
      </c>
      <c r="G499" s="63"/>
      <c r="H499" s="26"/>
      <c r="I499" s="66"/>
    </row>
    <row r="500" ht="15.75" customHeight="1">
      <c r="A500" s="71">
        <v>45872.0</v>
      </c>
      <c r="B500" s="29">
        <v>497.0</v>
      </c>
      <c r="C500" s="68" t="s">
        <v>1913</v>
      </c>
      <c r="D500" s="68" t="s">
        <v>2914</v>
      </c>
      <c r="E500" s="69">
        <v>7.093279522E9</v>
      </c>
      <c r="F500" s="70" t="s">
        <v>2915</v>
      </c>
      <c r="G500" s="63"/>
      <c r="H500" s="26"/>
      <c r="I500" s="66"/>
    </row>
    <row r="501" ht="15.75" customHeight="1">
      <c r="A501" s="71">
        <v>45872.0</v>
      </c>
      <c r="B501" s="29">
        <v>498.0</v>
      </c>
      <c r="C501" s="68" t="s">
        <v>2916</v>
      </c>
      <c r="D501" s="68" t="s">
        <v>2917</v>
      </c>
      <c r="E501" s="69">
        <v>4.037156972E9</v>
      </c>
      <c r="F501" s="70" t="s">
        <v>2918</v>
      </c>
      <c r="G501" s="63"/>
      <c r="H501" s="26"/>
      <c r="I501" s="66"/>
    </row>
    <row r="502" ht="15.75" customHeight="1">
      <c r="A502" s="71">
        <v>45873.0</v>
      </c>
      <c r="B502" s="29">
        <v>499.0</v>
      </c>
      <c r="C502" s="68" t="s">
        <v>1836</v>
      </c>
      <c r="D502" s="68" t="s">
        <v>2919</v>
      </c>
      <c r="E502" s="69">
        <v>5.068712172E9</v>
      </c>
      <c r="F502" s="70" t="s">
        <v>2920</v>
      </c>
      <c r="G502" s="63"/>
      <c r="H502" s="26"/>
      <c r="I502" s="66"/>
    </row>
    <row r="503" ht="15.75" customHeight="1">
      <c r="A503" s="71">
        <v>45873.0</v>
      </c>
      <c r="B503" s="29">
        <v>500.0</v>
      </c>
      <c r="C503" s="68" t="s">
        <v>2921</v>
      </c>
      <c r="D503" s="68" t="s">
        <v>2922</v>
      </c>
      <c r="E503" s="69">
        <v>5.198594066E9</v>
      </c>
      <c r="F503" s="70" t="s">
        <v>2923</v>
      </c>
      <c r="G503" s="63"/>
      <c r="H503" s="26"/>
      <c r="I503" s="66"/>
    </row>
    <row r="504" ht="15.75" customHeight="1">
      <c r="A504" s="71">
        <v>45873.0</v>
      </c>
      <c r="B504" s="29">
        <v>501.0</v>
      </c>
      <c r="C504" s="68" t="s">
        <v>2924</v>
      </c>
      <c r="D504" s="68" t="s">
        <v>2925</v>
      </c>
      <c r="E504" s="69">
        <v>2.508967174E9</v>
      </c>
      <c r="F504" s="70" t="s">
        <v>2926</v>
      </c>
      <c r="G504" s="63"/>
      <c r="H504" s="26"/>
      <c r="I504" s="66"/>
    </row>
    <row r="505" ht="15.75" customHeight="1">
      <c r="A505" s="71">
        <v>45873.0</v>
      </c>
      <c r="B505" s="29">
        <v>502.0</v>
      </c>
      <c r="C505" s="68" t="s">
        <v>2927</v>
      </c>
      <c r="D505" s="68" t="s">
        <v>2468</v>
      </c>
      <c r="E505" s="69">
        <v>7.808807344E9</v>
      </c>
      <c r="F505" s="70" t="s">
        <v>2928</v>
      </c>
      <c r="G505" s="63"/>
      <c r="H505" s="26"/>
      <c r="I505" s="66"/>
    </row>
    <row r="506" ht="15.75" customHeight="1">
      <c r="A506" s="71">
        <v>45873.0</v>
      </c>
      <c r="B506" s="29">
        <v>503.0</v>
      </c>
      <c r="C506" s="68" t="s">
        <v>2929</v>
      </c>
      <c r="D506" s="68" t="s">
        <v>2930</v>
      </c>
      <c r="E506" s="69">
        <v>7.809131425E9</v>
      </c>
      <c r="F506" s="70" t="s">
        <v>2931</v>
      </c>
      <c r="G506" s="63"/>
      <c r="H506" s="26"/>
      <c r="I506" s="66"/>
    </row>
    <row r="507" ht="15.75" customHeight="1">
      <c r="A507" s="71">
        <v>45874.0</v>
      </c>
      <c r="B507" s="29">
        <v>504.0</v>
      </c>
      <c r="C507" s="68" t="s">
        <v>2932</v>
      </c>
      <c r="D507" s="68" t="s">
        <v>2880</v>
      </c>
      <c r="E507" s="69">
        <v>7.806076661E9</v>
      </c>
      <c r="F507" s="70" t="s">
        <v>2933</v>
      </c>
      <c r="G507" s="63"/>
      <c r="H507" s="26"/>
      <c r="I507" s="66"/>
    </row>
    <row r="508" ht="15.75" customHeight="1">
      <c r="A508" s="71">
        <v>45876.0</v>
      </c>
      <c r="B508" s="29">
        <v>505.0</v>
      </c>
      <c r="C508" s="68" t="s">
        <v>2934</v>
      </c>
      <c r="D508" s="68" t="s">
        <v>2935</v>
      </c>
      <c r="E508" s="69">
        <v>5.819862142E9</v>
      </c>
      <c r="F508" s="70" t="s">
        <v>2936</v>
      </c>
      <c r="G508" s="63"/>
      <c r="H508" s="26"/>
      <c r="I508" s="66"/>
    </row>
    <row r="509" ht="15.75" customHeight="1">
      <c r="A509" s="71">
        <v>45876.0</v>
      </c>
      <c r="B509" s="29">
        <v>506.0</v>
      </c>
      <c r="C509" s="68" t="s">
        <v>2545</v>
      </c>
      <c r="D509" s="68" t="s">
        <v>2937</v>
      </c>
      <c r="E509" s="69">
        <v>3.067139225E9</v>
      </c>
      <c r="F509" s="70" t="s">
        <v>2938</v>
      </c>
      <c r="G509" s="63"/>
      <c r="H509" s="26"/>
      <c r="I509" s="66"/>
    </row>
    <row r="510" ht="15.75" customHeight="1">
      <c r="A510" s="71">
        <v>45876.0</v>
      </c>
      <c r="B510" s="29">
        <v>507.0</v>
      </c>
      <c r="C510" s="68" t="s">
        <v>2939</v>
      </c>
      <c r="D510" s="68" t="s">
        <v>2940</v>
      </c>
      <c r="E510" s="69">
        <v>3.062313272E9</v>
      </c>
      <c r="F510" s="70" t="s">
        <v>2941</v>
      </c>
      <c r="G510" s="63"/>
      <c r="H510" s="26"/>
      <c r="I510" s="66"/>
    </row>
    <row r="511" ht="15.75" customHeight="1">
      <c r="A511" s="71">
        <v>45876.0</v>
      </c>
      <c r="B511" s="29">
        <v>508.0</v>
      </c>
      <c r="C511" s="68" t="s">
        <v>2942</v>
      </c>
      <c r="D511" s="68" t="s">
        <v>2943</v>
      </c>
      <c r="E511" s="69">
        <v>2.363383377E9</v>
      </c>
      <c r="F511" s="70" t="s">
        <v>2944</v>
      </c>
      <c r="G511" s="63"/>
      <c r="H511" s="26"/>
      <c r="I511" s="66"/>
    </row>
    <row r="512" ht="15.75" customHeight="1">
      <c r="A512" s="71">
        <v>45878.0</v>
      </c>
      <c r="B512" s="29">
        <v>509.0</v>
      </c>
      <c r="C512" s="68" t="s">
        <v>2945</v>
      </c>
      <c r="D512" s="68" t="s">
        <v>2946</v>
      </c>
      <c r="E512" s="69">
        <v>7.09690222E9</v>
      </c>
      <c r="F512" s="70" t="s">
        <v>2947</v>
      </c>
      <c r="G512" s="63"/>
      <c r="H512" s="26"/>
      <c r="I512" s="66"/>
    </row>
    <row r="513" ht="15.75" customHeight="1">
      <c r="A513" s="71">
        <v>45878.0</v>
      </c>
      <c r="B513" s="29">
        <v>510.0</v>
      </c>
      <c r="C513" s="68" t="s">
        <v>2948</v>
      </c>
      <c r="D513" s="68" t="s">
        <v>2949</v>
      </c>
      <c r="E513" s="69">
        <v>3.065359992E9</v>
      </c>
      <c r="F513" s="70" t="s">
        <v>2950</v>
      </c>
      <c r="G513" s="63"/>
      <c r="H513" s="26"/>
      <c r="I513" s="66"/>
    </row>
    <row r="514" ht="15.75" customHeight="1">
      <c r="A514" s="71">
        <v>45878.0</v>
      </c>
      <c r="B514" s="29">
        <v>511.0</v>
      </c>
      <c r="C514" s="68" t="s">
        <v>2951</v>
      </c>
      <c r="D514" s="68" t="s">
        <v>2580</v>
      </c>
      <c r="E514" s="69">
        <v>4.379817931E9</v>
      </c>
      <c r="F514" s="70" t="s">
        <v>2952</v>
      </c>
      <c r="G514" s="63"/>
      <c r="H514" s="26"/>
      <c r="I514" s="66"/>
    </row>
    <row r="515" ht="15.75" customHeight="1">
      <c r="A515" s="71">
        <v>45878.0</v>
      </c>
      <c r="B515" s="29">
        <v>512.0</v>
      </c>
      <c r="C515" s="68" t="s">
        <v>2953</v>
      </c>
      <c r="D515" s="68" t="s">
        <v>2954</v>
      </c>
      <c r="E515" s="69">
        <v>4.379911299E9</v>
      </c>
      <c r="F515" s="70" t="s">
        <v>2955</v>
      </c>
      <c r="G515" s="63"/>
      <c r="H515" s="26"/>
      <c r="I515" s="66"/>
    </row>
    <row r="516" ht="15.75" customHeight="1">
      <c r="A516" s="71">
        <v>45878.0</v>
      </c>
      <c r="B516" s="29">
        <v>513.0</v>
      </c>
      <c r="C516" s="68" t="s">
        <v>2539</v>
      </c>
      <c r="D516" s="68" t="s">
        <v>2956</v>
      </c>
      <c r="E516" s="69"/>
      <c r="F516" s="70" t="s">
        <v>2957</v>
      </c>
      <c r="G516" s="63"/>
      <c r="H516" s="26"/>
      <c r="I516" s="66"/>
    </row>
    <row r="517" ht="15.75" customHeight="1">
      <c r="A517" s="71">
        <v>45879.0</v>
      </c>
      <c r="B517" s="29">
        <v>514.0</v>
      </c>
      <c r="C517" s="68" t="s">
        <v>2958</v>
      </c>
      <c r="D517" s="68" t="s">
        <v>2580</v>
      </c>
      <c r="E517" s="69">
        <v>6.474824957E9</v>
      </c>
      <c r="F517" s="70" t="s">
        <v>2959</v>
      </c>
      <c r="G517" s="63"/>
      <c r="H517" s="26"/>
      <c r="I517" s="66"/>
    </row>
    <row r="518" ht="15.75" customHeight="1">
      <c r="A518" s="71">
        <v>45879.0</v>
      </c>
      <c r="B518" s="29">
        <v>515.0</v>
      </c>
      <c r="C518" s="68" t="s">
        <v>2960</v>
      </c>
      <c r="D518" s="68" t="s">
        <v>2961</v>
      </c>
      <c r="E518" s="69">
        <v>2.049950618E9</v>
      </c>
      <c r="F518" s="70" t="s">
        <v>2962</v>
      </c>
      <c r="G518" s="63"/>
      <c r="H518" s="26"/>
      <c r="I518" s="66"/>
    </row>
    <row r="519" ht="15.75" customHeight="1">
      <c r="A519" s="71">
        <v>45879.0</v>
      </c>
      <c r="B519" s="29">
        <v>516.0</v>
      </c>
      <c r="C519" s="68" t="s">
        <v>1432</v>
      </c>
      <c r="D519" s="68" t="s">
        <v>2963</v>
      </c>
      <c r="E519" s="69">
        <v>3.062304578E9</v>
      </c>
      <c r="F519" s="70" t="s">
        <v>2964</v>
      </c>
      <c r="G519" s="63"/>
      <c r="H519" s="26"/>
      <c r="I519" s="66"/>
    </row>
    <row r="520" ht="15.75" customHeight="1">
      <c r="A520" s="71">
        <v>45880.0</v>
      </c>
      <c r="B520" s="29">
        <v>517.0</v>
      </c>
      <c r="C520" s="68" t="s">
        <v>2965</v>
      </c>
      <c r="D520" s="68" t="s">
        <v>2966</v>
      </c>
      <c r="E520" s="69">
        <v>2.046941827E9</v>
      </c>
      <c r="F520" s="70" t="s">
        <v>2967</v>
      </c>
      <c r="G520" s="63"/>
      <c r="H520" s="26"/>
      <c r="I520" s="66"/>
    </row>
    <row r="521" ht="15.75" customHeight="1">
      <c r="A521" s="71">
        <v>45880.0</v>
      </c>
      <c r="B521" s="29">
        <v>518.0</v>
      </c>
      <c r="C521" s="68" t="s">
        <v>2968</v>
      </c>
      <c r="D521" s="68" t="s">
        <v>656</v>
      </c>
      <c r="E521" s="69">
        <v>7.808428256E9</v>
      </c>
      <c r="F521" s="70" t="s">
        <v>2969</v>
      </c>
      <c r="G521" s="63"/>
      <c r="H521" s="26"/>
      <c r="I521" s="66"/>
    </row>
    <row r="522" ht="15.75" customHeight="1">
      <c r="A522" s="71">
        <v>45880.0</v>
      </c>
      <c r="B522" s="29">
        <v>519.0</v>
      </c>
      <c r="C522" s="68" t="s">
        <v>2791</v>
      </c>
      <c r="D522" s="68" t="s">
        <v>2970</v>
      </c>
      <c r="E522" s="69">
        <v>5.068663269E9</v>
      </c>
      <c r="F522" s="70" t="s">
        <v>2971</v>
      </c>
      <c r="G522" s="63"/>
      <c r="H522" s="26"/>
      <c r="I522" s="66"/>
    </row>
    <row r="523" ht="15.75" customHeight="1">
      <c r="A523" s="71">
        <v>45881.0</v>
      </c>
      <c r="B523" s="29">
        <v>520.0</v>
      </c>
      <c r="C523" s="68" t="s">
        <v>2972</v>
      </c>
      <c r="D523" s="68" t="s">
        <v>2973</v>
      </c>
      <c r="E523" s="69">
        <v>4.312766495E9</v>
      </c>
      <c r="F523" s="70" t="s">
        <v>2974</v>
      </c>
      <c r="G523" s="63"/>
      <c r="H523" s="26"/>
      <c r="I523" s="66"/>
    </row>
    <row r="524" ht="15.75" customHeight="1">
      <c r="A524" s="71">
        <v>45881.0</v>
      </c>
      <c r="B524" s="29">
        <v>521.0</v>
      </c>
      <c r="C524" s="68" t="s">
        <v>2975</v>
      </c>
      <c r="D524" s="68" t="s">
        <v>2976</v>
      </c>
      <c r="E524" s="69">
        <v>5.062695002E9</v>
      </c>
      <c r="F524" s="70" t="s">
        <v>2977</v>
      </c>
      <c r="G524" s="63"/>
      <c r="H524" s="26"/>
      <c r="I524" s="66"/>
    </row>
    <row r="525" ht="15.75" customHeight="1">
      <c r="A525" s="71">
        <v>45881.0</v>
      </c>
      <c r="B525" s="29">
        <v>522.0</v>
      </c>
      <c r="C525" s="68" t="s">
        <v>2141</v>
      </c>
      <c r="D525" s="68" t="s">
        <v>2978</v>
      </c>
      <c r="E525" s="69">
        <v>7.096800537E9</v>
      </c>
      <c r="F525" s="70" t="s">
        <v>2979</v>
      </c>
      <c r="G525" s="63"/>
      <c r="H525" s="26"/>
      <c r="I525" s="66"/>
    </row>
    <row r="526" ht="15.75" customHeight="1">
      <c r="A526" s="71">
        <v>45881.0</v>
      </c>
      <c r="B526" s="29">
        <v>523.0</v>
      </c>
      <c r="C526" s="68" t="s">
        <v>2980</v>
      </c>
      <c r="D526" s="68" t="s">
        <v>2981</v>
      </c>
      <c r="E526" s="69">
        <v>4.036185197E9</v>
      </c>
      <c r="F526" s="69" t="s">
        <v>2982</v>
      </c>
      <c r="G526" s="63"/>
      <c r="H526" s="26"/>
      <c r="I526" s="66"/>
    </row>
    <row r="527" ht="15.75" customHeight="1">
      <c r="A527" s="71">
        <v>45882.0</v>
      </c>
      <c r="B527" s="29">
        <v>524.0</v>
      </c>
      <c r="C527" s="68" t="s">
        <v>2983</v>
      </c>
      <c r="D527" s="68" t="s">
        <v>2984</v>
      </c>
      <c r="E527" s="69">
        <v>5.879204088E9</v>
      </c>
      <c r="F527" s="70" t="s">
        <v>2985</v>
      </c>
      <c r="G527" s="63"/>
      <c r="H527" s="26"/>
      <c r="I527" s="66"/>
    </row>
    <row r="528" ht="15.75" customHeight="1">
      <c r="A528" s="71">
        <v>45882.0</v>
      </c>
      <c r="B528" s="29">
        <v>525.0</v>
      </c>
      <c r="C528" s="68" t="s">
        <v>2669</v>
      </c>
      <c r="D528" s="68" t="s">
        <v>2986</v>
      </c>
      <c r="E528" s="69">
        <v>7.80870251E9</v>
      </c>
      <c r="F528" s="70" t="s">
        <v>2987</v>
      </c>
      <c r="G528" s="63"/>
      <c r="H528" s="26"/>
      <c r="I528" s="66"/>
    </row>
    <row r="529" ht="15.75" customHeight="1">
      <c r="A529" s="71">
        <v>45883.0</v>
      </c>
      <c r="B529" s="29">
        <v>526.0</v>
      </c>
      <c r="C529" s="68" t="s">
        <v>2988</v>
      </c>
      <c r="D529" s="68" t="s">
        <v>2989</v>
      </c>
      <c r="E529" s="69">
        <v>6.139833549E9</v>
      </c>
      <c r="F529" s="70" t="s">
        <v>2990</v>
      </c>
      <c r="G529" s="63"/>
      <c r="H529" s="26"/>
      <c r="I529" s="66"/>
    </row>
    <row r="530" ht="15.75" customHeight="1">
      <c r="A530" s="71">
        <v>45883.0</v>
      </c>
      <c r="B530" s="29">
        <v>527.0</v>
      </c>
      <c r="C530" s="68" t="s">
        <v>2991</v>
      </c>
      <c r="D530" s="68" t="s">
        <v>2992</v>
      </c>
      <c r="E530" s="69">
        <v>2.043247809E9</v>
      </c>
      <c r="F530" s="70" t="s">
        <v>2993</v>
      </c>
      <c r="G530" s="63"/>
      <c r="H530" s="26"/>
      <c r="I530" s="66"/>
    </row>
    <row r="531" ht="15.75" customHeight="1">
      <c r="A531" s="71">
        <v>45883.0</v>
      </c>
      <c r="B531" s="29">
        <v>528.0</v>
      </c>
      <c r="C531" s="68" t="s">
        <v>2994</v>
      </c>
      <c r="D531" s="68" t="s">
        <v>2995</v>
      </c>
      <c r="E531" s="69">
        <v>5.065887466E9</v>
      </c>
      <c r="F531" s="70" t="s">
        <v>2996</v>
      </c>
      <c r="G531" s="63"/>
      <c r="H531" s="26"/>
      <c r="I531" s="66"/>
    </row>
    <row r="532" ht="15.75" customHeight="1">
      <c r="A532" s="71">
        <v>45884.0</v>
      </c>
      <c r="B532" s="29">
        <v>529.0</v>
      </c>
      <c r="C532" s="68" t="s">
        <v>1845</v>
      </c>
      <c r="D532" s="68" t="s">
        <v>937</v>
      </c>
      <c r="E532" s="69">
        <v>4.31997571E9</v>
      </c>
      <c r="F532" s="70" t="s">
        <v>2997</v>
      </c>
      <c r="G532" s="63"/>
      <c r="H532" s="26"/>
      <c r="I532" s="66"/>
    </row>
    <row r="533" ht="15.75" customHeight="1">
      <c r="A533" s="71">
        <v>45884.0</v>
      </c>
      <c r="B533" s="29">
        <v>530.0</v>
      </c>
      <c r="C533" s="68" t="s">
        <v>2998</v>
      </c>
      <c r="D533" s="68" t="s">
        <v>2999</v>
      </c>
      <c r="E533" s="69">
        <v>4.033964485E9</v>
      </c>
      <c r="F533" s="70" t="s">
        <v>3000</v>
      </c>
      <c r="G533" s="63"/>
      <c r="H533" s="26"/>
      <c r="I533" s="66"/>
    </row>
    <row r="534" ht="15.75" customHeight="1">
      <c r="A534" s="71">
        <v>45884.0</v>
      </c>
      <c r="B534" s="79">
        <v>531.0</v>
      </c>
      <c r="C534" s="68" t="s">
        <v>1150</v>
      </c>
      <c r="D534" s="68" t="s">
        <v>3001</v>
      </c>
      <c r="E534" s="69">
        <v>7.056980536E9</v>
      </c>
      <c r="F534" s="70" t="s">
        <v>3002</v>
      </c>
      <c r="G534" s="63"/>
      <c r="H534" s="26"/>
      <c r="I534" s="66"/>
    </row>
    <row r="535" ht="15.75" customHeight="1">
      <c r="F535" s="80"/>
    </row>
    <row r="536" ht="15.75" customHeight="1">
      <c r="F536" s="80"/>
    </row>
    <row r="537" ht="15.75" customHeight="1">
      <c r="F537" s="80"/>
    </row>
    <row r="538" ht="15.75" customHeight="1">
      <c r="F538" s="80"/>
    </row>
    <row r="539" ht="15.75" customHeight="1">
      <c r="F539" s="80"/>
    </row>
    <row r="540" ht="15.75" customHeight="1">
      <c r="F540" s="80"/>
    </row>
    <row r="541" ht="15.75" customHeight="1">
      <c r="F541" s="80"/>
    </row>
    <row r="542" ht="15.75" customHeight="1">
      <c r="F542" s="80"/>
    </row>
    <row r="543" ht="15.75" customHeight="1">
      <c r="F543" s="80"/>
    </row>
    <row r="544" ht="15.75" customHeight="1">
      <c r="F544" s="80"/>
    </row>
    <row r="545" ht="15.75" customHeight="1">
      <c r="F545" s="80"/>
    </row>
    <row r="546" ht="15.75" customHeight="1">
      <c r="F546" s="80"/>
    </row>
    <row r="547" ht="15.75" customHeight="1">
      <c r="F547" s="80"/>
    </row>
    <row r="548" ht="15.75" customHeight="1">
      <c r="F548" s="80"/>
    </row>
    <row r="549" ht="15.75" customHeight="1">
      <c r="F549" s="80"/>
    </row>
    <row r="550" ht="15.75" customHeight="1">
      <c r="F550" s="80"/>
    </row>
    <row r="551" ht="15.75" customHeight="1">
      <c r="F551" s="80"/>
    </row>
    <row r="552" ht="15.75" customHeight="1">
      <c r="F552" s="80"/>
    </row>
    <row r="553" ht="15.75" customHeight="1">
      <c r="F553" s="80"/>
    </row>
    <row r="554" ht="15.75" customHeight="1">
      <c r="F554" s="80"/>
    </row>
    <row r="555" ht="15.75" customHeight="1">
      <c r="F555" s="80"/>
    </row>
    <row r="556" ht="15.75" customHeight="1">
      <c r="F556" s="80"/>
    </row>
    <row r="557" ht="15.75" customHeight="1">
      <c r="F557" s="80"/>
    </row>
    <row r="558" ht="15.75" customHeight="1">
      <c r="F558" s="80"/>
    </row>
    <row r="559" ht="15.75" customHeight="1">
      <c r="F559" s="80"/>
    </row>
    <row r="560" ht="15.75" customHeight="1">
      <c r="F560" s="80"/>
    </row>
    <row r="561" ht="15.75" customHeight="1">
      <c r="F561" s="80"/>
    </row>
    <row r="562" ht="15.75" customHeight="1">
      <c r="F562" s="80"/>
    </row>
    <row r="563" ht="15.75" customHeight="1">
      <c r="F563" s="80"/>
    </row>
    <row r="564" ht="15.75" customHeight="1">
      <c r="F564" s="80"/>
    </row>
    <row r="565" ht="15.75" customHeight="1">
      <c r="F565" s="80"/>
    </row>
    <row r="566" ht="15.75" customHeight="1">
      <c r="F566" s="80"/>
    </row>
    <row r="567" ht="15.75" customHeight="1">
      <c r="F567" s="80"/>
    </row>
    <row r="568" ht="15.75" customHeight="1">
      <c r="F568" s="80"/>
    </row>
    <row r="569" ht="15.75" customHeight="1">
      <c r="F569" s="80"/>
    </row>
    <row r="570" ht="15.75" customHeight="1">
      <c r="F570" s="80"/>
    </row>
    <row r="571" ht="15.75" customHeight="1">
      <c r="F571" s="80"/>
    </row>
    <row r="572" ht="15.75" customHeight="1">
      <c r="F572" s="80"/>
    </row>
    <row r="573" ht="15.75" customHeight="1">
      <c r="F573" s="80"/>
    </row>
    <row r="574" ht="15.75" customHeight="1">
      <c r="F574" s="80"/>
    </row>
    <row r="575" ht="15.75" customHeight="1">
      <c r="F575" s="80"/>
    </row>
    <row r="576" ht="15.75" customHeight="1">
      <c r="F576" s="80"/>
    </row>
    <row r="577" ht="15.75" customHeight="1">
      <c r="F577" s="80"/>
    </row>
    <row r="578" ht="15.75" customHeight="1">
      <c r="F578" s="80"/>
    </row>
    <row r="579" ht="15.75" customHeight="1">
      <c r="F579" s="80"/>
    </row>
    <row r="580" ht="15.75" customHeight="1">
      <c r="F580" s="80"/>
    </row>
    <row r="581" ht="15.75" customHeight="1">
      <c r="F581" s="80"/>
    </row>
    <row r="582" ht="15.75" customHeight="1">
      <c r="F582" s="80"/>
    </row>
    <row r="583" ht="15.75" customHeight="1">
      <c r="F583" s="80"/>
    </row>
    <row r="584" ht="15.75" customHeight="1">
      <c r="F584" s="80"/>
    </row>
    <row r="585" ht="15.75" customHeight="1">
      <c r="F585" s="80"/>
    </row>
    <row r="586" ht="15.75" customHeight="1">
      <c r="F586" s="80"/>
    </row>
    <row r="587" ht="15.75" customHeight="1">
      <c r="F587" s="80"/>
    </row>
    <row r="588" ht="15.75" customHeight="1">
      <c r="F588" s="80"/>
    </row>
    <row r="589" ht="15.75" customHeight="1">
      <c r="F589" s="80"/>
    </row>
    <row r="590" ht="15.75" customHeight="1">
      <c r="F590" s="80"/>
    </row>
    <row r="591" ht="15.75" customHeight="1">
      <c r="F591" s="80"/>
    </row>
    <row r="592" ht="15.75" customHeight="1">
      <c r="F592" s="80"/>
    </row>
    <row r="593" ht="15.75" customHeight="1">
      <c r="F593" s="80"/>
    </row>
    <row r="594" ht="15.75" customHeight="1">
      <c r="F594" s="80"/>
    </row>
    <row r="595" ht="15.75" customHeight="1">
      <c r="F595" s="80"/>
    </row>
    <row r="596" ht="15.75" customHeight="1">
      <c r="F596" s="80"/>
    </row>
    <row r="597" ht="15.75" customHeight="1">
      <c r="F597" s="80"/>
    </row>
    <row r="598" ht="15.75" customHeight="1">
      <c r="F598" s="80"/>
    </row>
    <row r="599" ht="15.75" customHeight="1">
      <c r="F599" s="80"/>
    </row>
    <row r="600" ht="15.75" customHeight="1">
      <c r="F600" s="80"/>
    </row>
    <row r="601" ht="15.75" customHeight="1">
      <c r="F601" s="80"/>
    </row>
    <row r="602" ht="15.75" customHeight="1">
      <c r="F602" s="80"/>
    </row>
    <row r="603" ht="15.75" customHeight="1">
      <c r="F603" s="80"/>
    </row>
    <row r="604" ht="15.75" customHeight="1">
      <c r="F604" s="80"/>
    </row>
    <row r="605" ht="15.75" customHeight="1">
      <c r="F605" s="80"/>
    </row>
    <row r="606" ht="15.75" customHeight="1">
      <c r="F606" s="80"/>
    </row>
    <row r="607" ht="15.75" customHeight="1">
      <c r="F607" s="80"/>
    </row>
    <row r="608" ht="15.75" customHeight="1">
      <c r="F608" s="80"/>
    </row>
    <row r="609" ht="15.75" customHeight="1">
      <c r="F609" s="80"/>
    </row>
    <row r="610" ht="15.75" customHeight="1">
      <c r="F610" s="80"/>
    </row>
    <row r="611" ht="15.75" customHeight="1">
      <c r="F611" s="80"/>
    </row>
    <row r="612" ht="15.75" customHeight="1">
      <c r="F612" s="80"/>
    </row>
    <row r="613" ht="15.75" customHeight="1">
      <c r="F613" s="80"/>
    </row>
    <row r="614" ht="15.75" customHeight="1">
      <c r="F614" s="80"/>
    </row>
    <row r="615" ht="15.75" customHeight="1">
      <c r="F615" s="80"/>
    </row>
    <row r="616" ht="15.75" customHeight="1">
      <c r="F616" s="80"/>
    </row>
    <row r="617" ht="15.75" customHeight="1">
      <c r="F617" s="80"/>
    </row>
    <row r="618" ht="15.75" customHeight="1">
      <c r="F618" s="80"/>
    </row>
    <row r="619" ht="15.75" customHeight="1">
      <c r="F619" s="80"/>
    </row>
    <row r="620" ht="15.75" customHeight="1">
      <c r="F620" s="80"/>
    </row>
    <row r="621" ht="15.75" customHeight="1">
      <c r="F621" s="80"/>
    </row>
    <row r="622" ht="15.75" customHeight="1">
      <c r="F622" s="80"/>
    </row>
    <row r="623" ht="15.75" customHeight="1">
      <c r="F623" s="80"/>
    </row>
    <row r="624" ht="15.75" customHeight="1">
      <c r="F624" s="80"/>
    </row>
    <row r="625" ht="15.75" customHeight="1">
      <c r="F625" s="80"/>
    </row>
    <row r="626" ht="15.75" customHeight="1">
      <c r="F626" s="80"/>
    </row>
    <row r="627" ht="15.75" customHeight="1">
      <c r="F627" s="80"/>
    </row>
    <row r="628" ht="15.75" customHeight="1">
      <c r="F628" s="80"/>
    </row>
    <row r="629" ht="15.75" customHeight="1">
      <c r="F629" s="80"/>
    </row>
    <row r="630" ht="15.75" customHeight="1">
      <c r="F630" s="80"/>
    </row>
    <row r="631" ht="15.75" customHeight="1">
      <c r="F631" s="80"/>
    </row>
    <row r="632" ht="15.75" customHeight="1">
      <c r="F632" s="80"/>
    </row>
    <row r="633" ht="15.75" customHeight="1">
      <c r="F633" s="80"/>
    </row>
    <row r="634" ht="15.75" customHeight="1">
      <c r="F634" s="80"/>
    </row>
    <row r="635" ht="15.75" customHeight="1">
      <c r="F635" s="80"/>
    </row>
    <row r="636" ht="15.75" customHeight="1">
      <c r="F636" s="80"/>
    </row>
    <row r="637" ht="15.75" customHeight="1">
      <c r="F637" s="80"/>
    </row>
    <row r="638" ht="15.75" customHeight="1">
      <c r="F638" s="80"/>
    </row>
    <row r="639" ht="15.75" customHeight="1">
      <c r="F639" s="80"/>
    </row>
    <row r="640" ht="15.75" customHeight="1">
      <c r="F640" s="80"/>
    </row>
    <row r="641" ht="15.75" customHeight="1">
      <c r="F641" s="80"/>
    </row>
    <row r="642" ht="15.75" customHeight="1">
      <c r="F642" s="80"/>
    </row>
    <row r="643" ht="15.75" customHeight="1">
      <c r="F643" s="80"/>
    </row>
    <row r="644" ht="15.75" customHeight="1">
      <c r="F644" s="80"/>
    </row>
    <row r="645" ht="15.75" customHeight="1">
      <c r="F645" s="80"/>
    </row>
    <row r="646" ht="15.75" customHeight="1">
      <c r="F646" s="80"/>
    </row>
    <row r="647" ht="15.75" customHeight="1">
      <c r="F647" s="80"/>
    </row>
    <row r="648" ht="15.75" customHeight="1">
      <c r="F648" s="80"/>
    </row>
    <row r="649" ht="15.75" customHeight="1">
      <c r="F649" s="80"/>
    </row>
    <row r="650" ht="15.75" customHeight="1">
      <c r="F650" s="80"/>
    </row>
    <row r="651" ht="15.75" customHeight="1">
      <c r="F651" s="80"/>
    </row>
    <row r="652" ht="15.75" customHeight="1">
      <c r="F652" s="80"/>
    </row>
    <row r="653" ht="15.75" customHeight="1">
      <c r="F653" s="80"/>
    </row>
    <row r="654" ht="15.75" customHeight="1">
      <c r="F654" s="80"/>
    </row>
    <row r="655" ht="15.75" customHeight="1">
      <c r="F655" s="80"/>
    </row>
    <row r="656" ht="15.75" customHeight="1">
      <c r="F656" s="80"/>
    </row>
    <row r="657" ht="15.75" customHeight="1">
      <c r="F657" s="80"/>
    </row>
    <row r="658" ht="15.75" customHeight="1">
      <c r="F658" s="80"/>
    </row>
    <row r="659" ht="15.75" customHeight="1">
      <c r="F659" s="80"/>
    </row>
    <row r="660" ht="15.75" customHeight="1">
      <c r="F660" s="80"/>
    </row>
    <row r="661" ht="15.75" customHeight="1">
      <c r="F661" s="80"/>
    </row>
    <row r="662" ht="15.75" customHeight="1">
      <c r="F662" s="80"/>
    </row>
    <row r="663" ht="15.75" customHeight="1">
      <c r="F663" s="80"/>
    </row>
    <row r="664" ht="15.75" customHeight="1">
      <c r="F664" s="80"/>
    </row>
    <row r="665" ht="15.75" customHeight="1">
      <c r="F665" s="80"/>
    </row>
    <row r="666" ht="15.75" customHeight="1">
      <c r="F666" s="80"/>
    </row>
    <row r="667" ht="15.75" customHeight="1">
      <c r="F667" s="80"/>
    </row>
    <row r="668" ht="15.75" customHeight="1">
      <c r="F668" s="80"/>
    </row>
    <row r="669" ht="15.75" customHeight="1">
      <c r="F669" s="80"/>
    </row>
    <row r="670" ht="15.75" customHeight="1">
      <c r="F670" s="80"/>
    </row>
    <row r="671" ht="15.75" customHeight="1">
      <c r="F671" s="80"/>
    </row>
    <row r="672" ht="15.75" customHeight="1">
      <c r="F672" s="80"/>
    </row>
    <row r="673" ht="15.75" customHeight="1">
      <c r="F673" s="80"/>
    </row>
    <row r="674" ht="15.75" customHeight="1">
      <c r="F674" s="80"/>
    </row>
    <row r="675" ht="15.75" customHeight="1">
      <c r="F675" s="80"/>
    </row>
    <row r="676" ht="15.75" customHeight="1">
      <c r="F676" s="80"/>
    </row>
    <row r="677" ht="15.75" customHeight="1">
      <c r="F677" s="80"/>
    </row>
    <row r="678" ht="15.75" customHeight="1">
      <c r="F678" s="80"/>
    </row>
    <row r="679" ht="15.75" customHeight="1">
      <c r="F679" s="80"/>
    </row>
    <row r="680" ht="15.75" customHeight="1">
      <c r="F680" s="80"/>
    </row>
    <row r="681" ht="15.75" customHeight="1">
      <c r="F681" s="80"/>
    </row>
    <row r="682" ht="15.75" customHeight="1">
      <c r="F682" s="80"/>
    </row>
    <row r="683" ht="15.75" customHeight="1">
      <c r="F683" s="80"/>
    </row>
    <row r="684" ht="15.75" customHeight="1">
      <c r="F684" s="80"/>
    </row>
    <row r="685" ht="15.75" customHeight="1">
      <c r="F685" s="80"/>
    </row>
    <row r="686" ht="15.75" customHeight="1">
      <c r="F686" s="80"/>
    </row>
    <row r="687" ht="15.75" customHeight="1">
      <c r="F687" s="80"/>
    </row>
    <row r="688" ht="15.75" customHeight="1">
      <c r="F688" s="80"/>
    </row>
    <row r="689" ht="15.75" customHeight="1">
      <c r="F689" s="80"/>
    </row>
    <row r="690" ht="15.75" customHeight="1">
      <c r="F690" s="80"/>
    </row>
    <row r="691" ht="15.75" customHeight="1">
      <c r="F691" s="80"/>
    </row>
    <row r="692" ht="15.75" customHeight="1">
      <c r="F692" s="80"/>
    </row>
    <row r="693" ht="15.75" customHeight="1">
      <c r="F693" s="80"/>
    </row>
    <row r="694" ht="15.75" customHeight="1">
      <c r="F694" s="80"/>
    </row>
    <row r="695" ht="15.75" customHeight="1">
      <c r="F695" s="80"/>
    </row>
    <row r="696" ht="15.75" customHeight="1">
      <c r="F696" s="80"/>
    </row>
    <row r="697" ht="15.75" customHeight="1">
      <c r="F697" s="80"/>
    </row>
    <row r="698" ht="15.75" customHeight="1">
      <c r="F698" s="80"/>
    </row>
    <row r="699" ht="15.75" customHeight="1">
      <c r="F699" s="80"/>
    </row>
    <row r="700" ht="15.75" customHeight="1">
      <c r="F700" s="80"/>
    </row>
    <row r="701" ht="15.75" customHeight="1">
      <c r="F701" s="80"/>
    </row>
    <row r="702" ht="15.75" customHeight="1">
      <c r="F702" s="80"/>
    </row>
    <row r="703" ht="15.75" customHeight="1">
      <c r="F703" s="80"/>
    </row>
    <row r="704" ht="15.75" customHeight="1">
      <c r="F704" s="80"/>
    </row>
    <row r="705" ht="15.75" customHeight="1">
      <c r="F705" s="80"/>
    </row>
    <row r="706" ht="15.75" customHeight="1">
      <c r="F706" s="80"/>
    </row>
    <row r="707" ht="15.75" customHeight="1">
      <c r="F707" s="80"/>
    </row>
    <row r="708" ht="15.75" customHeight="1">
      <c r="F708" s="80"/>
    </row>
    <row r="709" ht="15.75" customHeight="1">
      <c r="F709" s="80"/>
    </row>
    <row r="710" ht="15.75" customHeight="1">
      <c r="F710" s="80"/>
    </row>
    <row r="711" ht="15.75" customHeight="1">
      <c r="F711" s="80"/>
    </row>
    <row r="712" ht="15.75" customHeight="1">
      <c r="F712" s="80"/>
    </row>
    <row r="713" ht="15.75" customHeight="1">
      <c r="F713" s="80"/>
    </row>
    <row r="714" ht="15.75" customHeight="1">
      <c r="F714" s="80"/>
    </row>
    <row r="715" ht="15.75" customHeight="1">
      <c r="F715" s="80"/>
    </row>
    <row r="716" ht="15.75" customHeight="1">
      <c r="F716" s="80"/>
    </row>
    <row r="717" ht="15.75" customHeight="1">
      <c r="F717" s="80"/>
    </row>
    <row r="718" ht="15.75" customHeight="1">
      <c r="F718" s="80"/>
    </row>
    <row r="719" ht="15.75" customHeight="1">
      <c r="F719" s="80"/>
    </row>
    <row r="720" ht="15.75" customHeight="1">
      <c r="F720" s="80"/>
    </row>
    <row r="721" ht="15.75" customHeight="1">
      <c r="F721" s="80"/>
    </row>
    <row r="722" ht="15.75" customHeight="1">
      <c r="F722" s="80"/>
    </row>
    <row r="723" ht="15.75" customHeight="1">
      <c r="F723" s="80"/>
    </row>
    <row r="724" ht="15.75" customHeight="1">
      <c r="F724" s="80"/>
    </row>
    <row r="725" ht="15.75" customHeight="1">
      <c r="F725" s="80"/>
    </row>
    <row r="726" ht="15.75" customHeight="1">
      <c r="F726" s="80"/>
    </row>
    <row r="727" ht="15.75" customHeight="1">
      <c r="F727" s="80"/>
    </row>
    <row r="728" ht="15.75" customHeight="1">
      <c r="F728" s="80"/>
    </row>
    <row r="729" ht="15.75" customHeight="1">
      <c r="F729" s="80"/>
    </row>
    <row r="730" ht="15.75" customHeight="1">
      <c r="F730" s="80"/>
    </row>
    <row r="731" ht="15.75" customHeight="1">
      <c r="F731" s="80"/>
    </row>
    <row r="732" ht="15.75" customHeight="1">
      <c r="F732" s="80"/>
    </row>
    <row r="733" ht="15.75" customHeight="1">
      <c r="F733" s="80"/>
    </row>
    <row r="734" ht="15.75" customHeight="1">
      <c r="F734" s="80"/>
    </row>
    <row r="735" ht="15.75" customHeight="1">
      <c r="F735" s="80"/>
    </row>
    <row r="736" ht="15.75" customHeight="1">
      <c r="F736" s="80"/>
    </row>
    <row r="737" ht="15.75" customHeight="1">
      <c r="F737" s="80"/>
    </row>
    <row r="738" ht="15.75" customHeight="1">
      <c r="F738" s="80"/>
    </row>
    <row r="739" ht="15.75" customHeight="1">
      <c r="F739" s="80"/>
    </row>
    <row r="740" ht="15.75" customHeight="1">
      <c r="F740" s="80"/>
    </row>
    <row r="741" ht="15.75" customHeight="1">
      <c r="F741" s="80"/>
    </row>
    <row r="742" ht="15.75" customHeight="1">
      <c r="F742" s="80"/>
    </row>
    <row r="743" ht="15.75" customHeight="1">
      <c r="F743" s="80"/>
    </row>
    <row r="744" ht="15.75" customHeight="1">
      <c r="F744" s="80"/>
    </row>
    <row r="745" ht="15.75" customHeight="1">
      <c r="F745" s="80"/>
    </row>
    <row r="746" ht="15.75" customHeight="1">
      <c r="F746" s="80"/>
    </row>
    <row r="747" ht="15.75" customHeight="1">
      <c r="F747" s="80"/>
    </row>
    <row r="748" ht="15.75" customHeight="1">
      <c r="F748" s="80"/>
    </row>
    <row r="749" ht="15.75" customHeight="1">
      <c r="F749" s="80"/>
    </row>
    <row r="750" ht="15.75" customHeight="1">
      <c r="F750" s="80"/>
    </row>
    <row r="751" ht="15.75" customHeight="1">
      <c r="F751" s="80"/>
    </row>
    <row r="752" ht="15.75" customHeight="1">
      <c r="F752" s="80"/>
    </row>
    <row r="753" ht="15.75" customHeight="1">
      <c r="F753" s="80"/>
    </row>
    <row r="754" ht="15.75" customHeight="1">
      <c r="F754" s="80"/>
    </row>
    <row r="755" ht="15.75" customHeight="1">
      <c r="F755" s="80"/>
    </row>
    <row r="756" ht="15.75" customHeight="1">
      <c r="F756" s="80"/>
    </row>
    <row r="757" ht="15.75" customHeight="1">
      <c r="F757" s="80"/>
    </row>
    <row r="758" ht="15.75" customHeight="1">
      <c r="F758" s="80"/>
    </row>
    <row r="759" ht="15.75" customHeight="1">
      <c r="F759" s="80"/>
    </row>
    <row r="760" ht="15.75" customHeight="1">
      <c r="F760" s="80"/>
    </row>
    <row r="761" ht="15.75" customHeight="1">
      <c r="F761" s="80"/>
    </row>
    <row r="762" ht="15.75" customHeight="1">
      <c r="F762" s="80"/>
    </row>
    <row r="763" ht="15.75" customHeight="1">
      <c r="F763" s="80"/>
    </row>
    <row r="764" ht="15.75" customHeight="1">
      <c r="F764" s="80"/>
    </row>
    <row r="765" ht="15.75" customHeight="1">
      <c r="F765" s="80"/>
    </row>
    <row r="766" ht="15.75" customHeight="1">
      <c r="F766" s="80"/>
    </row>
    <row r="767" ht="15.75" customHeight="1">
      <c r="F767" s="80"/>
    </row>
    <row r="768" ht="15.75" customHeight="1">
      <c r="F768" s="80"/>
    </row>
    <row r="769" ht="15.75" customHeight="1">
      <c r="F769" s="80"/>
    </row>
    <row r="770" ht="15.75" customHeight="1">
      <c r="F770" s="80"/>
    </row>
    <row r="771" ht="15.75" customHeight="1">
      <c r="F771" s="80"/>
    </row>
    <row r="772" ht="15.75" customHeight="1">
      <c r="F772" s="80"/>
    </row>
    <row r="773" ht="15.75" customHeight="1">
      <c r="F773" s="80"/>
    </row>
    <row r="774" ht="15.75" customHeight="1">
      <c r="F774" s="80"/>
    </row>
    <row r="775" ht="15.75" customHeight="1">
      <c r="F775" s="80"/>
    </row>
    <row r="776" ht="15.75" customHeight="1">
      <c r="F776" s="80"/>
    </row>
    <row r="777" ht="15.75" customHeight="1">
      <c r="F777" s="80"/>
    </row>
    <row r="778" ht="15.75" customHeight="1">
      <c r="F778" s="80"/>
    </row>
    <row r="779" ht="15.75" customHeight="1">
      <c r="F779" s="80"/>
    </row>
    <row r="780" ht="15.75" customHeight="1">
      <c r="F780" s="80"/>
    </row>
    <row r="781" ht="15.75" customHeight="1">
      <c r="F781" s="80"/>
    </row>
    <row r="782" ht="15.75" customHeight="1">
      <c r="F782" s="80"/>
    </row>
    <row r="783" ht="15.75" customHeight="1">
      <c r="F783" s="80"/>
    </row>
    <row r="784" ht="15.75" customHeight="1">
      <c r="F784" s="80"/>
    </row>
    <row r="785" ht="15.75" customHeight="1">
      <c r="F785" s="80"/>
    </row>
    <row r="786" ht="15.75" customHeight="1">
      <c r="F786" s="80"/>
    </row>
    <row r="787" ht="15.75" customHeight="1">
      <c r="F787" s="80"/>
    </row>
    <row r="788" ht="15.75" customHeight="1">
      <c r="F788" s="80"/>
    </row>
    <row r="789" ht="15.75" customHeight="1">
      <c r="F789" s="80"/>
    </row>
    <row r="790" ht="15.75" customHeight="1">
      <c r="F790" s="80"/>
    </row>
    <row r="791" ht="15.75" customHeight="1">
      <c r="F791" s="80"/>
    </row>
    <row r="792" ht="15.75" customHeight="1">
      <c r="F792" s="80"/>
    </row>
    <row r="793" ht="15.75" customHeight="1">
      <c r="F793" s="80"/>
    </row>
    <row r="794" ht="15.75" customHeight="1">
      <c r="F794" s="80"/>
    </row>
    <row r="795" ht="15.75" customHeight="1">
      <c r="F795" s="80"/>
    </row>
    <row r="796" ht="15.75" customHeight="1">
      <c r="F796" s="80"/>
    </row>
    <row r="797" ht="15.75" customHeight="1">
      <c r="F797" s="80"/>
    </row>
    <row r="798" ht="15.75" customHeight="1">
      <c r="F798" s="80"/>
    </row>
    <row r="799" ht="15.75" customHeight="1">
      <c r="F799" s="80"/>
    </row>
    <row r="800" ht="15.75" customHeight="1">
      <c r="F800" s="80"/>
    </row>
    <row r="801" ht="15.75" customHeight="1">
      <c r="F801" s="80"/>
    </row>
    <row r="802" ht="15.75" customHeight="1">
      <c r="F802" s="80"/>
    </row>
    <row r="803" ht="15.75" customHeight="1">
      <c r="F803" s="80"/>
    </row>
    <row r="804" ht="15.75" customHeight="1">
      <c r="F804" s="80"/>
    </row>
    <row r="805" ht="15.75" customHeight="1">
      <c r="F805" s="80"/>
    </row>
    <row r="806" ht="15.75" customHeight="1">
      <c r="F806" s="80"/>
    </row>
    <row r="807" ht="15.75" customHeight="1">
      <c r="F807" s="80"/>
    </row>
    <row r="808" ht="15.75" customHeight="1">
      <c r="F808" s="80"/>
    </row>
    <row r="809" ht="15.75" customHeight="1">
      <c r="F809" s="80"/>
    </row>
    <row r="810" ht="15.75" customHeight="1">
      <c r="F810" s="80"/>
    </row>
    <row r="811" ht="15.75" customHeight="1">
      <c r="F811" s="80"/>
    </row>
    <row r="812" ht="15.75" customHeight="1">
      <c r="F812" s="80"/>
    </row>
    <row r="813" ht="15.75" customHeight="1">
      <c r="F813" s="80"/>
    </row>
    <row r="814" ht="15.75" customHeight="1">
      <c r="F814" s="80"/>
    </row>
    <row r="815" ht="15.75" customHeight="1">
      <c r="F815" s="80"/>
    </row>
    <row r="816" ht="15.75" customHeight="1">
      <c r="F816" s="80"/>
    </row>
    <row r="817" ht="15.75" customHeight="1">
      <c r="F817" s="80"/>
    </row>
    <row r="818" ht="15.75" customHeight="1">
      <c r="F818" s="80"/>
    </row>
    <row r="819" ht="15.75" customHeight="1">
      <c r="F819" s="80"/>
    </row>
    <row r="820" ht="15.75" customHeight="1">
      <c r="F820" s="80"/>
    </row>
    <row r="821" ht="15.75" customHeight="1">
      <c r="F821" s="80"/>
    </row>
    <row r="822" ht="15.75" customHeight="1">
      <c r="F822" s="80"/>
    </row>
    <row r="823" ht="15.75" customHeight="1">
      <c r="F823" s="80"/>
    </row>
    <row r="824" ht="15.75" customHeight="1">
      <c r="F824" s="80"/>
    </row>
    <row r="825" ht="15.75" customHeight="1">
      <c r="F825" s="80"/>
    </row>
    <row r="826" ht="15.75" customHeight="1">
      <c r="F826" s="80"/>
    </row>
    <row r="827" ht="15.75" customHeight="1">
      <c r="F827" s="80"/>
    </row>
    <row r="828" ht="15.75" customHeight="1">
      <c r="F828" s="80"/>
    </row>
    <row r="829" ht="15.75" customHeight="1">
      <c r="F829" s="80"/>
    </row>
    <row r="830" ht="15.75" customHeight="1">
      <c r="F830" s="80"/>
    </row>
    <row r="831" ht="15.75" customHeight="1">
      <c r="F831" s="80"/>
    </row>
    <row r="832" ht="15.75" customHeight="1">
      <c r="F832" s="80"/>
    </row>
    <row r="833" ht="15.75" customHeight="1">
      <c r="F833" s="80"/>
    </row>
    <row r="834" ht="15.75" customHeight="1">
      <c r="F834" s="80"/>
    </row>
    <row r="835" ht="15.75" customHeight="1">
      <c r="F835" s="80"/>
    </row>
    <row r="836" ht="15.75" customHeight="1">
      <c r="F836" s="80"/>
    </row>
    <row r="837" ht="15.75" customHeight="1">
      <c r="F837" s="80"/>
    </row>
    <row r="838" ht="15.75" customHeight="1">
      <c r="F838" s="80"/>
    </row>
    <row r="839" ht="15.75" customHeight="1">
      <c r="F839" s="80"/>
    </row>
    <row r="840" ht="15.75" customHeight="1">
      <c r="F840" s="80"/>
    </row>
    <row r="841" ht="15.75" customHeight="1">
      <c r="F841" s="80"/>
    </row>
    <row r="842" ht="15.75" customHeight="1">
      <c r="F842" s="80"/>
    </row>
    <row r="843" ht="15.75" customHeight="1">
      <c r="F843" s="80"/>
    </row>
    <row r="844" ht="15.75" customHeight="1">
      <c r="F844" s="80"/>
    </row>
    <row r="845" ht="15.75" customHeight="1">
      <c r="F845" s="80"/>
    </row>
    <row r="846" ht="15.75" customHeight="1">
      <c r="F846" s="80"/>
    </row>
    <row r="847" ht="15.75" customHeight="1">
      <c r="F847" s="80"/>
    </row>
    <row r="848" ht="15.75" customHeight="1">
      <c r="F848" s="80"/>
    </row>
    <row r="849" ht="15.75" customHeight="1">
      <c r="F849" s="80"/>
    </row>
    <row r="850" ht="15.75" customHeight="1">
      <c r="F850" s="80"/>
    </row>
    <row r="851" ht="15.75" customHeight="1">
      <c r="F851" s="80"/>
    </row>
    <row r="852" ht="15.75" customHeight="1">
      <c r="F852" s="80"/>
    </row>
    <row r="853" ht="15.75" customHeight="1">
      <c r="F853" s="80"/>
    </row>
    <row r="854" ht="15.75" customHeight="1">
      <c r="F854" s="80"/>
    </row>
    <row r="855" ht="15.75" customHeight="1">
      <c r="F855" s="80"/>
    </row>
    <row r="856" ht="15.75" customHeight="1">
      <c r="F856" s="80"/>
    </row>
    <row r="857" ht="15.75" customHeight="1">
      <c r="F857" s="80"/>
    </row>
    <row r="858" ht="15.75" customHeight="1">
      <c r="F858" s="80"/>
    </row>
    <row r="859" ht="15.75" customHeight="1">
      <c r="F859" s="80"/>
    </row>
    <row r="860" ht="15.75" customHeight="1">
      <c r="F860" s="80"/>
    </row>
    <row r="861" ht="15.75" customHeight="1">
      <c r="F861" s="80"/>
    </row>
    <row r="862" ht="15.75" customHeight="1">
      <c r="F862" s="80"/>
    </row>
    <row r="863" ht="15.75" customHeight="1">
      <c r="F863" s="80"/>
    </row>
    <row r="864" ht="15.75" customHeight="1">
      <c r="F864" s="80"/>
    </row>
    <row r="865" ht="15.75" customHeight="1">
      <c r="F865" s="80"/>
    </row>
    <row r="866" ht="15.75" customHeight="1">
      <c r="F866" s="80"/>
    </row>
    <row r="867" ht="15.75" customHeight="1">
      <c r="F867" s="80"/>
    </row>
    <row r="868" ht="15.75" customHeight="1">
      <c r="F868" s="80"/>
    </row>
    <row r="869" ht="15.75" customHeight="1">
      <c r="F869" s="80"/>
    </row>
    <row r="870" ht="15.75" customHeight="1">
      <c r="F870" s="80"/>
    </row>
    <row r="871" ht="15.75" customHeight="1">
      <c r="F871" s="80"/>
    </row>
    <row r="872" ht="15.75" customHeight="1">
      <c r="F872" s="80"/>
    </row>
    <row r="873" ht="15.75" customHeight="1">
      <c r="F873" s="80"/>
    </row>
    <row r="874" ht="15.75" customHeight="1">
      <c r="F874" s="80"/>
    </row>
    <row r="875" ht="15.75" customHeight="1">
      <c r="F875" s="80"/>
    </row>
    <row r="876" ht="15.75" customHeight="1">
      <c r="F876" s="80"/>
    </row>
    <row r="877" ht="15.75" customHeight="1">
      <c r="F877" s="80"/>
    </row>
    <row r="878" ht="15.75" customHeight="1">
      <c r="F878" s="80"/>
    </row>
    <row r="879" ht="15.75" customHeight="1">
      <c r="F879" s="80"/>
    </row>
    <row r="880" ht="15.75" customHeight="1">
      <c r="F880" s="80"/>
    </row>
    <row r="881" ht="15.75" customHeight="1">
      <c r="F881" s="80"/>
    </row>
    <row r="882" ht="15.75" customHeight="1">
      <c r="F882" s="80"/>
    </row>
    <row r="883" ht="15.75" customHeight="1">
      <c r="F883" s="80"/>
    </row>
    <row r="884" ht="15.75" customHeight="1">
      <c r="F884" s="80"/>
    </row>
    <row r="885" ht="15.75" customHeight="1">
      <c r="F885" s="80"/>
    </row>
    <row r="886" ht="15.75" customHeight="1">
      <c r="F886" s="80"/>
    </row>
    <row r="887" ht="15.75" customHeight="1">
      <c r="F887" s="80"/>
    </row>
    <row r="888" ht="15.75" customHeight="1">
      <c r="F888" s="80"/>
    </row>
    <row r="889" ht="15.75" customHeight="1">
      <c r="F889" s="80"/>
    </row>
    <row r="890" ht="15.75" customHeight="1">
      <c r="F890" s="80"/>
    </row>
    <row r="891" ht="15.75" customHeight="1">
      <c r="F891" s="80"/>
    </row>
    <row r="892" ht="15.75" customHeight="1">
      <c r="F892" s="80"/>
    </row>
    <row r="893" ht="15.75" customHeight="1">
      <c r="F893" s="80"/>
    </row>
    <row r="894" ht="15.75" customHeight="1">
      <c r="F894" s="80"/>
    </row>
    <row r="895" ht="15.75" customHeight="1">
      <c r="F895" s="80"/>
    </row>
    <row r="896" ht="15.75" customHeight="1">
      <c r="F896" s="80"/>
    </row>
    <row r="897" ht="15.75" customHeight="1">
      <c r="F897" s="80"/>
    </row>
    <row r="898" ht="15.75" customHeight="1">
      <c r="F898" s="80"/>
    </row>
    <row r="899" ht="15.75" customHeight="1">
      <c r="F899" s="80"/>
    </row>
    <row r="900" ht="15.75" customHeight="1">
      <c r="F900" s="80"/>
    </row>
    <row r="901" ht="15.75" customHeight="1">
      <c r="F901" s="80"/>
    </row>
    <row r="902" ht="15.75" customHeight="1">
      <c r="F902" s="80"/>
    </row>
    <row r="903" ht="15.75" customHeight="1">
      <c r="F903" s="80"/>
    </row>
    <row r="904" ht="15.75" customHeight="1">
      <c r="F904" s="80"/>
    </row>
    <row r="905" ht="15.75" customHeight="1">
      <c r="F905" s="80"/>
    </row>
    <row r="906" ht="15.75" customHeight="1">
      <c r="F906" s="80"/>
    </row>
    <row r="907" ht="15.75" customHeight="1">
      <c r="F907" s="80"/>
    </row>
    <row r="908" ht="15.75" customHeight="1">
      <c r="F908" s="80"/>
    </row>
    <row r="909" ht="15.75" customHeight="1">
      <c r="F909" s="80"/>
    </row>
    <row r="910" ht="15.75" customHeight="1">
      <c r="F910" s="80"/>
    </row>
    <row r="911" ht="15.75" customHeight="1">
      <c r="F911" s="80"/>
    </row>
    <row r="912" ht="15.75" customHeight="1">
      <c r="F912" s="80"/>
    </row>
    <row r="913" ht="15.75" customHeight="1">
      <c r="F913" s="80"/>
    </row>
    <row r="914" ht="15.75" customHeight="1">
      <c r="F914" s="80"/>
    </row>
    <row r="915" ht="15.75" customHeight="1">
      <c r="F915" s="80"/>
    </row>
    <row r="916" ht="15.75" customHeight="1">
      <c r="F916" s="80"/>
    </row>
    <row r="917" ht="15.75" customHeight="1">
      <c r="F917" s="80"/>
    </row>
    <row r="918" ht="15.75" customHeight="1">
      <c r="F918" s="80"/>
    </row>
    <row r="919" ht="15.75" customHeight="1">
      <c r="F919" s="80"/>
    </row>
    <row r="920" ht="15.75" customHeight="1">
      <c r="F920" s="80"/>
    </row>
    <row r="921" ht="15.75" customHeight="1">
      <c r="F921" s="80"/>
    </row>
    <row r="922" ht="15.75" customHeight="1">
      <c r="F922" s="80"/>
    </row>
    <row r="923" ht="15.75" customHeight="1">
      <c r="F923" s="80"/>
    </row>
    <row r="924" ht="15.75" customHeight="1">
      <c r="F924" s="80"/>
    </row>
    <row r="925" ht="15.75" customHeight="1">
      <c r="F925" s="80"/>
    </row>
    <row r="926" ht="15.75" customHeight="1">
      <c r="F926" s="80"/>
    </row>
    <row r="927" ht="15.75" customHeight="1">
      <c r="F927" s="80"/>
    </row>
    <row r="928" ht="15.75" customHeight="1">
      <c r="F928" s="80"/>
    </row>
    <row r="929" ht="15.75" customHeight="1">
      <c r="F929" s="80"/>
    </row>
    <row r="930" ht="15.75" customHeight="1">
      <c r="F930" s="80"/>
    </row>
    <row r="931" ht="15.75" customHeight="1">
      <c r="F931" s="80"/>
    </row>
    <row r="932" ht="15.75" customHeight="1">
      <c r="F932" s="80"/>
    </row>
    <row r="933" ht="15.75" customHeight="1">
      <c r="F933" s="80"/>
    </row>
    <row r="934" ht="15.75" customHeight="1">
      <c r="F934" s="80"/>
    </row>
    <row r="935" ht="15.75" customHeight="1">
      <c r="F935" s="80"/>
    </row>
    <row r="936" ht="15.75" customHeight="1">
      <c r="F936" s="80"/>
    </row>
    <row r="937" ht="15.75" customHeight="1">
      <c r="F937" s="80"/>
    </row>
    <row r="938" ht="15.75" customHeight="1">
      <c r="F938" s="80"/>
    </row>
    <row r="939" ht="15.75" customHeight="1">
      <c r="F939" s="80"/>
    </row>
    <row r="940" ht="15.75" customHeight="1">
      <c r="F940" s="80"/>
    </row>
    <row r="941" ht="15.75" customHeight="1">
      <c r="F941" s="80"/>
    </row>
    <row r="942" ht="15.75" customHeight="1">
      <c r="F942" s="80"/>
    </row>
    <row r="943" ht="15.75" customHeight="1">
      <c r="F943" s="80"/>
    </row>
    <row r="944" ht="15.75" customHeight="1">
      <c r="F944" s="80"/>
    </row>
    <row r="945" ht="15.75" customHeight="1">
      <c r="F945" s="80"/>
    </row>
    <row r="946" ht="15.75" customHeight="1">
      <c r="F946" s="80"/>
    </row>
    <row r="947" ht="15.75" customHeight="1">
      <c r="F947" s="80"/>
    </row>
    <row r="948" ht="15.75" customHeight="1">
      <c r="F948" s="80"/>
    </row>
    <row r="949" ht="15.75" customHeight="1">
      <c r="F949" s="80"/>
    </row>
    <row r="950" ht="15.75" customHeight="1">
      <c r="F950" s="80"/>
    </row>
    <row r="951" ht="15.75" customHeight="1">
      <c r="F951" s="80"/>
    </row>
    <row r="952" ht="15.75" customHeight="1">
      <c r="F952" s="80"/>
    </row>
    <row r="953" ht="15.75" customHeight="1">
      <c r="F953" s="80"/>
    </row>
    <row r="954" ht="15.75" customHeight="1">
      <c r="F954" s="80"/>
    </row>
    <row r="955" ht="15.75" customHeight="1">
      <c r="F955" s="80"/>
    </row>
    <row r="956" ht="15.75" customHeight="1">
      <c r="F956" s="80"/>
    </row>
    <row r="957" ht="15.75" customHeight="1">
      <c r="F957" s="80"/>
    </row>
    <row r="958" ht="15.75" customHeight="1">
      <c r="F958" s="80"/>
    </row>
    <row r="959" ht="15.75" customHeight="1">
      <c r="F959" s="80"/>
    </row>
    <row r="960" ht="15.75" customHeight="1">
      <c r="F960" s="80"/>
    </row>
    <row r="961" ht="15.75" customHeight="1">
      <c r="F961" s="80"/>
    </row>
    <row r="962" ht="15.75" customHeight="1">
      <c r="F962" s="80"/>
    </row>
    <row r="963" ht="15.75" customHeight="1">
      <c r="F963" s="80"/>
    </row>
    <row r="964" ht="15.75" customHeight="1">
      <c r="F964" s="80"/>
    </row>
    <row r="965" ht="15.75" customHeight="1">
      <c r="F965" s="80"/>
    </row>
    <row r="966" ht="15.75" customHeight="1">
      <c r="F966" s="80"/>
    </row>
    <row r="967" ht="15.75" customHeight="1">
      <c r="F967" s="80"/>
    </row>
    <row r="968" ht="15.75" customHeight="1">
      <c r="F968" s="80"/>
    </row>
    <row r="969" ht="15.75" customHeight="1">
      <c r="F969" s="80"/>
    </row>
    <row r="970" ht="15.75" customHeight="1">
      <c r="F970" s="80"/>
    </row>
    <row r="971" ht="15.75" customHeight="1">
      <c r="F971" s="80"/>
    </row>
    <row r="972" ht="15.75" customHeight="1">
      <c r="F972" s="80"/>
    </row>
    <row r="973" ht="15.75" customHeight="1">
      <c r="F973" s="80"/>
    </row>
    <row r="974" ht="15.75" customHeight="1">
      <c r="F974" s="80"/>
    </row>
    <row r="975" ht="15.75" customHeight="1">
      <c r="F975" s="80"/>
    </row>
    <row r="976" ht="15.75" customHeight="1">
      <c r="F976" s="80"/>
    </row>
    <row r="977" ht="15.75" customHeight="1">
      <c r="F977" s="80"/>
    </row>
    <row r="978" ht="15.75" customHeight="1">
      <c r="F978" s="80"/>
    </row>
    <row r="979" ht="15.75" customHeight="1">
      <c r="F979" s="80"/>
    </row>
    <row r="980" ht="15.75" customHeight="1">
      <c r="F980" s="80"/>
    </row>
    <row r="981" ht="15.75" customHeight="1">
      <c r="F981" s="80"/>
    </row>
    <row r="982" ht="15.75" customHeight="1">
      <c r="F982" s="80"/>
    </row>
    <row r="983" ht="15.75" customHeight="1">
      <c r="F983" s="80"/>
    </row>
    <row r="984" ht="15.75" customHeight="1">
      <c r="F984" s="80"/>
    </row>
    <row r="985" ht="15.75" customHeight="1">
      <c r="F985" s="80"/>
    </row>
    <row r="986" ht="15.75" customHeight="1">
      <c r="F986" s="80"/>
    </row>
    <row r="987" ht="15.75" customHeight="1">
      <c r="F987" s="80"/>
    </row>
    <row r="988" ht="15.75" customHeight="1">
      <c r="F988" s="80"/>
    </row>
    <row r="989" ht="15.75" customHeight="1">
      <c r="F989" s="80"/>
    </row>
    <row r="990" ht="15.75" customHeight="1">
      <c r="F990" s="80"/>
    </row>
    <row r="991" ht="15.75" customHeight="1">
      <c r="F991" s="80"/>
    </row>
    <row r="992" ht="15.75" customHeight="1">
      <c r="F992" s="80"/>
    </row>
    <row r="993" ht="15.75" customHeight="1">
      <c r="F993" s="80"/>
    </row>
    <row r="994" ht="15.75" customHeight="1">
      <c r="F994" s="80"/>
    </row>
    <row r="995" ht="15.75" customHeight="1">
      <c r="F995" s="80"/>
    </row>
    <row r="996" ht="15.75" customHeight="1">
      <c r="F996" s="80"/>
    </row>
    <row r="997" ht="15.75" customHeight="1">
      <c r="F997" s="80"/>
    </row>
    <row r="998" ht="15.75" customHeight="1">
      <c r="F998" s="80"/>
    </row>
    <row r="999" ht="15.75" customHeight="1">
      <c r="F999" s="80"/>
    </row>
    <row r="1000" ht="15.75" customHeight="1">
      <c r="F1000" s="80"/>
    </row>
    <row r="1001" ht="15.75" customHeight="1">
      <c r="F1001" s="80"/>
    </row>
    <row r="1002" ht="15.75" customHeight="1">
      <c r="F1002" s="80"/>
    </row>
    <row r="1003" ht="15.75" customHeight="1">
      <c r="F1003" s="80"/>
    </row>
  </sheetData>
  <mergeCells count="2">
    <mergeCell ref="B1:C1"/>
    <mergeCell ref="B2:H2"/>
  </mergeCells>
  <hyperlinks>
    <hyperlink r:id="rId1" ref="B3"/>
    <hyperlink r:id="rId2" ref="F8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1.5"/>
    <col customWidth="1" min="3" max="3" width="15.75"/>
    <col customWidth="1" min="4" max="4" width="22.13"/>
    <col customWidth="1" min="5" max="5" width="13.13"/>
    <col customWidth="1" min="6" max="6" width="33.88"/>
    <col customWidth="1" min="7" max="7" width="18.0"/>
    <col customWidth="1" min="8" max="9" width="8.38"/>
    <col customWidth="1" min="10" max="10" width="262.63"/>
    <col customWidth="1" min="11" max="14" width="51.13"/>
  </cols>
  <sheetData>
    <row r="1" ht="15.75" customHeight="1">
      <c r="A1" s="9" t="s">
        <v>1649</v>
      </c>
      <c r="D1" s="9">
        <f>COUNT(A4:A9997)</f>
        <v>503</v>
      </c>
      <c r="E1" s="81"/>
      <c r="F1" s="10"/>
      <c r="G1" s="10"/>
      <c r="H1" s="10"/>
      <c r="I1" s="10"/>
      <c r="J1" s="10"/>
      <c r="K1" s="10"/>
      <c r="L1" s="10"/>
      <c r="M1" s="10"/>
      <c r="N1" s="10"/>
    </row>
    <row r="2" ht="31.5" customHeight="1">
      <c r="A2" s="10"/>
      <c r="I2" s="10"/>
      <c r="J2" s="10"/>
      <c r="K2" s="10"/>
      <c r="L2" s="10"/>
      <c r="M2" s="10"/>
      <c r="N2" s="10"/>
    </row>
    <row r="3" ht="39.0" customHeight="1">
      <c r="A3" s="82" t="s">
        <v>1651</v>
      </c>
      <c r="B3" s="83" t="s">
        <v>3003</v>
      </c>
      <c r="C3" s="84" t="s">
        <v>1652</v>
      </c>
      <c r="D3" s="84" t="s">
        <v>1653</v>
      </c>
      <c r="E3" s="85" t="s">
        <v>3004</v>
      </c>
      <c r="F3" s="86" t="s">
        <v>3005</v>
      </c>
      <c r="G3" s="84" t="s">
        <v>1656</v>
      </c>
      <c r="H3" s="84" t="s">
        <v>3006</v>
      </c>
      <c r="I3" s="87"/>
      <c r="J3" s="87"/>
      <c r="K3" s="87"/>
      <c r="L3" s="87"/>
      <c r="M3" s="87"/>
      <c r="N3" s="87"/>
    </row>
    <row r="4" ht="15.75" customHeight="1">
      <c r="A4" s="88">
        <v>1.0</v>
      </c>
      <c r="B4" s="22"/>
      <c r="C4" s="22" t="s">
        <v>3007</v>
      </c>
      <c r="D4" s="22" t="s">
        <v>3008</v>
      </c>
      <c r="E4" s="89">
        <v>9.052438864E9</v>
      </c>
      <c r="F4" s="24" t="s">
        <v>3009</v>
      </c>
      <c r="G4" s="90"/>
      <c r="H4" s="90"/>
      <c r="I4" s="91"/>
      <c r="J4" s="92"/>
      <c r="K4" s="92"/>
      <c r="L4" s="92"/>
      <c r="M4" s="92"/>
      <c r="N4" s="92"/>
    </row>
    <row r="5" ht="15.75" customHeight="1">
      <c r="A5" s="88">
        <v>2.0</v>
      </c>
      <c r="B5" s="22"/>
      <c r="C5" s="22" t="s">
        <v>0</v>
      </c>
      <c r="D5" s="22" t="s">
        <v>1</v>
      </c>
      <c r="E5" s="89">
        <v>4.168878678E9</v>
      </c>
      <c r="F5" s="24" t="s">
        <v>3010</v>
      </c>
      <c r="G5" s="93"/>
      <c r="H5" s="93"/>
      <c r="I5" s="94"/>
      <c r="J5" s="95"/>
      <c r="K5" s="95"/>
      <c r="L5" s="95"/>
      <c r="M5" s="95"/>
      <c r="N5" s="95"/>
    </row>
    <row r="6" ht="15.75" customHeight="1">
      <c r="A6" s="88">
        <v>3.0</v>
      </c>
      <c r="B6" s="22"/>
      <c r="C6" s="22" t="s">
        <v>3</v>
      </c>
      <c r="D6" s="22" t="s">
        <v>4</v>
      </c>
      <c r="E6" s="89">
        <v>4.162707571E9</v>
      </c>
      <c r="F6" s="24" t="s">
        <v>3011</v>
      </c>
      <c r="G6" s="96"/>
      <c r="H6" s="96"/>
      <c r="I6" s="97"/>
      <c r="J6" s="98"/>
      <c r="K6" s="98"/>
      <c r="L6" s="98"/>
      <c r="M6" s="98"/>
      <c r="N6" s="98"/>
    </row>
    <row r="7" ht="15.75" customHeight="1">
      <c r="A7" s="88">
        <v>4.0</v>
      </c>
      <c r="B7" s="22"/>
      <c r="C7" s="22" t="s">
        <v>1532</v>
      </c>
      <c r="D7" s="22" t="s">
        <v>1533</v>
      </c>
      <c r="E7" s="89">
        <v>4.16346906E9</v>
      </c>
      <c r="F7" s="24" t="s">
        <v>3012</v>
      </c>
      <c r="G7" s="93"/>
      <c r="H7" s="93"/>
      <c r="I7" s="94"/>
      <c r="J7" s="95"/>
      <c r="K7" s="95"/>
      <c r="L7" s="95"/>
      <c r="M7" s="95"/>
      <c r="N7" s="95"/>
    </row>
    <row r="8" ht="15.75" customHeight="1">
      <c r="A8" s="88">
        <v>5.0</v>
      </c>
      <c r="B8" s="22"/>
      <c r="C8" s="22" t="s">
        <v>6</v>
      </c>
      <c r="D8" s="22" t="s">
        <v>7</v>
      </c>
      <c r="E8" s="89">
        <v>6.479729774E9</v>
      </c>
      <c r="F8" s="24" t="s">
        <v>3013</v>
      </c>
      <c r="G8" s="96"/>
      <c r="H8" s="96"/>
      <c r="I8" s="97"/>
      <c r="J8" s="98"/>
      <c r="K8" s="98"/>
      <c r="L8" s="98"/>
      <c r="M8" s="98"/>
      <c r="N8" s="98"/>
    </row>
    <row r="9" ht="15.75" customHeight="1">
      <c r="A9" s="88">
        <v>6.0</v>
      </c>
      <c r="B9" s="22"/>
      <c r="C9" s="22" t="s">
        <v>9</v>
      </c>
      <c r="D9" s="22" t="s">
        <v>3014</v>
      </c>
      <c r="E9" s="89">
        <v>6.47773706E9</v>
      </c>
      <c r="F9" s="24" t="s">
        <v>3015</v>
      </c>
      <c r="G9" s="93"/>
      <c r="H9" s="93"/>
      <c r="I9" s="94"/>
      <c r="J9" s="95"/>
      <c r="K9" s="95"/>
      <c r="L9" s="95"/>
      <c r="M9" s="95"/>
      <c r="N9" s="95"/>
    </row>
    <row r="10" ht="15.75" customHeight="1">
      <c r="A10" s="88">
        <v>7.0</v>
      </c>
      <c r="B10" s="22"/>
      <c r="C10" s="22" t="s">
        <v>12</v>
      </c>
      <c r="D10" s="22" t="s">
        <v>13</v>
      </c>
      <c r="E10" s="89">
        <v>6.474563563E9</v>
      </c>
      <c r="F10" s="24" t="s">
        <v>3016</v>
      </c>
      <c r="G10" s="96"/>
      <c r="H10" s="96"/>
      <c r="I10" s="97"/>
      <c r="J10" s="98"/>
      <c r="K10" s="98"/>
      <c r="L10" s="98"/>
      <c r="M10" s="98"/>
      <c r="N10" s="98"/>
    </row>
    <row r="11" ht="15.75" customHeight="1">
      <c r="A11" s="88">
        <v>8.0</v>
      </c>
      <c r="B11" s="22"/>
      <c r="C11" s="22" t="s">
        <v>56</v>
      </c>
      <c r="D11" s="22" t="s">
        <v>57</v>
      </c>
      <c r="E11" s="89">
        <v>2.898932181E9</v>
      </c>
      <c r="F11" s="24" t="s">
        <v>3017</v>
      </c>
      <c r="G11" s="93"/>
      <c r="H11" s="93"/>
      <c r="I11" s="94"/>
      <c r="J11" s="95"/>
      <c r="K11" s="95"/>
      <c r="L11" s="95"/>
      <c r="M11" s="95"/>
      <c r="N11" s="95"/>
    </row>
    <row r="12" ht="15.75" customHeight="1">
      <c r="A12" s="88">
        <v>9.0</v>
      </c>
      <c r="B12" s="22"/>
      <c r="C12" s="22" t="s">
        <v>224</v>
      </c>
      <c r="D12" s="22" t="s">
        <v>225</v>
      </c>
      <c r="E12" s="89">
        <v>9.056448853E9</v>
      </c>
      <c r="F12" s="24" t="s">
        <v>3018</v>
      </c>
      <c r="G12" s="96"/>
      <c r="H12" s="96"/>
      <c r="I12" s="97"/>
      <c r="J12" s="98"/>
      <c r="K12" s="98"/>
      <c r="L12" s="98"/>
      <c r="M12" s="98"/>
      <c r="N12" s="98"/>
    </row>
    <row r="13" ht="15.75" customHeight="1">
      <c r="A13" s="88">
        <v>10.0</v>
      </c>
      <c r="B13" s="22"/>
      <c r="C13" s="22" t="s">
        <v>238</v>
      </c>
      <c r="D13" s="22" t="s">
        <v>239</v>
      </c>
      <c r="E13" s="89">
        <v>7.79230593E8</v>
      </c>
      <c r="F13" s="24" t="s">
        <v>3019</v>
      </c>
      <c r="G13" s="93"/>
      <c r="H13" s="93"/>
      <c r="I13" s="94"/>
      <c r="J13" s="95"/>
      <c r="K13" s="95"/>
      <c r="L13" s="95"/>
      <c r="M13" s="95"/>
      <c r="N13" s="95"/>
    </row>
    <row r="14" ht="15.75" customHeight="1">
      <c r="A14" s="88">
        <v>11.0</v>
      </c>
      <c r="B14" s="22"/>
      <c r="C14" s="22" t="s">
        <v>263</v>
      </c>
      <c r="D14" s="22" t="s">
        <v>264</v>
      </c>
      <c r="E14" s="89">
        <v>4.16450433E9</v>
      </c>
      <c r="F14" s="24" t="s">
        <v>3020</v>
      </c>
      <c r="G14" s="96"/>
      <c r="H14" s="96"/>
      <c r="I14" s="97"/>
      <c r="J14" s="98"/>
      <c r="K14" s="98"/>
      <c r="L14" s="98"/>
      <c r="M14" s="98"/>
      <c r="N14" s="98"/>
    </row>
    <row r="15" ht="15.75" customHeight="1">
      <c r="A15" s="88">
        <v>12.0</v>
      </c>
      <c r="B15" s="22"/>
      <c r="C15" s="22" t="s">
        <v>269</v>
      </c>
      <c r="D15" s="22" t="s">
        <v>270</v>
      </c>
      <c r="E15" s="89">
        <f>24381950937</f>
        <v>24381950937</v>
      </c>
      <c r="F15" s="24" t="s">
        <v>3021</v>
      </c>
      <c r="G15" s="93"/>
      <c r="H15" s="93"/>
      <c r="I15" s="94"/>
      <c r="J15" s="95"/>
      <c r="K15" s="95"/>
      <c r="L15" s="95"/>
      <c r="M15" s="95"/>
      <c r="N15" s="95"/>
    </row>
    <row r="16" ht="15.75" customHeight="1">
      <c r="A16" s="88">
        <v>13.0</v>
      </c>
      <c r="B16" s="22"/>
      <c r="C16" s="22" t="s">
        <v>333</v>
      </c>
      <c r="D16" s="22" t="s">
        <v>334</v>
      </c>
      <c r="E16" s="89" t="s">
        <v>3022</v>
      </c>
      <c r="F16" s="24" t="s">
        <v>3023</v>
      </c>
      <c r="G16" s="96"/>
      <c r="H16" s="96"/>
      <c r="I16" s="97"/>
      <c r="J16" s="98"/>
      <c r="K16" s="98"/>
      <c r="L16" s="98"/>
      <c r="M16" s="98"/>
      <c r="N16" s="98"/>
    </row>
    <row r="17" ht="15.75" customHeight="1">
      <c r="A17" s="88">
        <v>14.0</v>
      </c>
      <c r="B17" s="22"/>
      <c r="C17" s="22" t="s">
        <v>362</v>
      </c>
      <c r="D17" s="22" t="s">
        <v>363</v>
      </c>
      <c r="E17" s="89">
        <v>4.163886794E9</v>
      </c>
      <c r="F17" s="24" t="s">
        <v>3024</v>
      </c>
      <c r="G17" s="93"/>
      <c r="H17" s="93"/>
      <c r="I17" s="94"/>
      <c r="J17" s="95"/>
      <c r="K17" s="95"/>
      <c r="L17" s="95"/>
      <c r="M17" s="95"/>
      <c r="N17" s="95"/>
    </row>
    <row r="18" ht="15.75" customHeight="1">
      <c r="A18" s="88">
        <v>15.0</v>
      </c>
      <c r="B18" s="22"/>
      <c r="C18" s="22" t="s">
        <v>365</v>
      </c>
      <c r="D18" s="22" t="s">
        <v>366</v>
      </c>
      <c r="E18" s="89">
        <v>6.474684018E9</v>
      </c>
      <c r="F18" s="24" t="s">
        <v>3025</v>
      </c>
      <c r="G18" s="96"/>
      <c r="H18" s="96"/>
      <c r="I18" s="97"/>
      <c r="J18" s="98"/>
      <c r="K18" s="98"/>
      <c r="L18" s="98"/>
      <c r="M18" s="98"/>
      <c r="N18" s="98"/>
    </row>
    <row r="19" ht="15.75" customHeight="1">
      <c r="A19" s="88">
        <v>16.0</v>
      </c>
      <c r="B19" s="22"/>
      <c r="C19" s="22" t="s">
        <v>368</v>
      </c>
      <c r="D19" s="22" t="s">
        <v>369</v>
      </c>
      <c r="E19" s="89">
        <v>2.899231027E9</v>
      </c>
      <c r="F19" s="24" t="s">
        <v>3026</v>
      </c>
      <c r="G19" s="93"/>
      <c r="H19" s="93"/>
      <c r="I19" s="94"/>
      <c r="J19" s="95"/>
      <c r="K19" s="95"/>
      <c r="L19" s="95"/>
      <c r="M19" s="95"/>
      <c r="N19" s="95"/>
    </row>
    <row r="20" ht="15.75" customHeight="1">
      <c r="A20" s="88">
        <v>17.0</v>
      </c>
      <c r="B20" s="22"/>
      <c r="C20" s="22" t="s">
        <v>372</v>
      </c>
      <c r="D20" s="22" t="s">
        <v>369</v>
      </c>
      <c r="E20" s="89">
        <v>6.479143296E9</v>
      </c>
      <c r="F20" s="24" t="s">
        <v>3027</v>
      </c>
      <c r="G20" s="96"/>
      <c r="H20" s="96"/>
      <c r="I20" s="97"/>
      <c r="J20" s="98"/>
      <c r="K20" s="98"/>
      <c r="L20" s="98"/>
      <c r="M20" s="98"/>
      <c r="N20" s="98"/>
    </row>
    <row r="21" ht="15.75" customHeight="1">
      <c r="A21" s="88">
        <v>18.0</v>
      </c>
      <c r="B21" s="22"/>
      <c r="C21" s="22" t="s">
        <v>387</v>
      </c>
      <c r="D21" s="22" t="s">
        <v>388</v>
      </c>
      <c r="E21" s="89"/>
      <c r="F21" s="24" t="s">
        <v>3028</v>
      </c>
      <c r="G21" s="93"/>
      <c r="H21" s="93"/>
      <c r="I21" s="94"/>
      <c r="J21" s="95"/>
      <c r="K21" s="95"/>
      <c r="L21" s="95"/>
      <c r="M21" s="95"/>
      <c r="N21" s="95"/>
    </row>
    <row r="22" ht="15.75" customHeight="1">
      <c r="A22" s="88">
        <v>19.0</v>
      </c>
      <c r="B22" s="22"/>
      <c r="C22" s="22" t="s">
        <v>182</v>
      </c>
      <c r="D22" s="22" t="s">
        <v>396</v>
      </c>
      <c r="E22" s="89"/>
      <c r="F22" s="24" t="s">
        <v>3029</v>
      </c>
      <c r="G22" s="96"/>
      <c r="H22" s="96"/>
      <c r="I22" s="97"/>
      <c r="J22" s="98"/>
      <c r="K22" s="98"/>
      <c r="L22" s="98"/>
      <c r="M22" s="98"/>
      <c r="N22" s="98"/>
    </row>
    <row r="23" ht="15.75" customHeight="1">
      <c r="A23" s="88">
        <v>20.0</v>
      </c>
      <c r="B23" s="22"/>
      <c r="C23" s="22" t="s">
        <v>116</v>
      </c>
      <c r="D23" s="22" t="s">
        <v>117</v>
      </c>
      <c r="E23" s="89">
        <v>4.164204463E9</v>
      </c>
      <c r="F23" s="24" t="s">
        <v>3030</v>
      </c>
      <c r="G23" s="93"/>
      <c r="H23" s="93"/>
      <c r="I23" s="94"/>
      <c r="J23" s="95"/>
      <c r="K23" s="95"/>
      <c r="L23" s="95"/>
      <c r="M23" s="95"/>
      <c r="N23" s="95"/>
    </row>
    <row r="24" ht="15.75" customHeight="1">
      <c r="A24" s="88">
        <v>21.0</v>
      </c>
      <c r="B24" s="22"/>
      <c r="C24" s="22" t="s">
        <v>405</v>
      </c>
      <c r="D24" s="22" t="s">
        <v>406</v>
      </c>
      <c r="E24" s="89"/>
      <c r="F24" s="24" t="s">
        <v>3031</v>
      </c>
      <c r="G24" s="96"/>
      <c r="H24" s="96"/>
      <c r="I24" s="97"/>
      <c r="J24" s="98"/>
      <c r="K24" s="98"/>
      <c r="L24" s="98"/>
      <c r="M24" s="98"/>
      <c r="N24" s="98"/>
    </row>
    <row r="25" ht="15.75" customHeight="1">
      <c r="A25" s="88">
        <v>22.0</v>
      </c>
      <c r="B25" s="22"/>
      <c r="C25" s="22" t="s">
        <v>427</v>
      </c>
      <c r="D25" s="22" t="s">
        <v>428</v>
      </c>
      <c r="E25" s="89">
        <v>6.477073224E9</v>
      </c>
      <c r="F25" s="24" t="s">
        <v>3032</v>
      </c>
      <c r="G25" s="93"/>
      <c r="H25" s="93"/>
      <c r="I25" s="94"/>
      <c r="J25" s="95"/>
      <c r="K25" s="95"/>
      <c r="L25" s="95"/>
      <c r="M25" s="95"/>
      <c r="N25" s="95"/>
    </row>
    <row r="26" ht="15.75" customHeight="1">
      <c r="A26" s="88">
        <v>23.0</v>
      </c>
      <c r="B26" s="22"/>
      <c r="C26" s="22" t="s">
        <v>442</v>
      </c>
      <c r="D26" s="22" t="s">
        <v>443</v>
      </c>
      <c r="E26" s="89">
        <v>9.052517438E9</v>
      </c>
      <c r="F26" s="24" t="s">
        <v>3033</v>
      </c>
      <c r="G26" s="96"/>
      <c r="H26" s="96"/>
      <c r="I26" s="97"/>
      <c r="J26" s="98"/>
      <c r="K26" s="98"/>
      <c r="L26" s="98"/>
      <c r="M26" s="98"/>
      <c r="N26" s="98"/>
    </row>
    <row r="27" ht="15.75" customHeight="1">
      <c r="A27" s="88">
        <v>24.0</v>
      </c>
      <c r="B27" s="22"/>
      <c r="C27" s="22" t="s">
        <v>3034</v>
      </c>
      <c r="D27" s="22" t="s">
        <v>29</v>
      </c>
      <c r="E27" s="89">
        <v>6.477607061E9</v>
      </c>
      <c r="F27" s="24" t="s">
        <v>3035</v>
      </c>
      <c r="G27" s="93"/>
      <c r="H27" s="93"/>
      <c r="I27" s="94"/>
      <c r="J27" s="95"/>
      <c r="K27" s="95"/>
      <c r="L27" s="95"/>
      <c r="M27" s="95"/>
      <c r="N27" s="95"/>
    </row>
    <row r="28" ht="15.75" customHeight="1">
      <c r="A28" s="88">
        <v>25.0</v>
      </c>
      <c r="B28" s="22"/>
      <c r="C28" s="22" t="s">
        <v>448</v>
      </c>
      <c r="D28" s="22" t="s">
        <v>449</v>
      </c>
      <c r="E28" s="89">
        <v>4.168199265E9</v>
      </c>
      <c r="F28" s="24" t="s">
        <v>3036</v>
      </c>
      <c r="G28" s="96"/>
      <c r="H28" s="96"/>
      <c r="I28" s="97"/>
      <c r="J28" s="98"/>
      <c r="K28" s="98"/>
      <c r="L28" s="98"/>
      <c r="M28" s="98"/>
      <c r="N28" s="98"/>
    </row>
    <row r="29" ht="15.75" customHeight="1">
      <c r="A29" s="88">
        <v>26.0</v>
      </c>
      <c r="B29" s="22"/>
      <c r="C29" s="22" t="s">
        <v>537</v>
      </c>
      <c r="D29" s="22" t="s">
        <v>538</v>
      </c>
      <c r="E29" s="89">
        <v>4.164200047E9</v>
      </c>
      <c r="F29" s="24" t="s">
        <v>3037</v>
      </c>
      <c r="G29" s="93"/>
      <c r="H29" s="93"/>
      <c r="I29" s="94"/>
      <c r="J29" s="95"/>
      <c r="K29" s="95"/>
      <c r="L29" s="95"/>
      <c r="M29" s="95"/>
      <c r="N29" s="95"/>
    </row>
    <row r="30" ht="15.75" customHeight="1">
      <c r="A30" s="88">
        <v>27.0</v>
      </c>
      <c r="B30" s="22"/>
      <c r="C30" s="22" t="s">
        <v>565</v>
      </c>
      <c r="D30" s="22" t="s">
        <v>566</v>
      </c>
      <c r="E30" s="89">
        <v>6.472423551E9</v>
      </c>
      <c r="F30" s="24" t="s">
        <v>3038</v>
      </c>
      <c r="G30" s="96"/>
      <c r="H30" s="96"/>
      <c r="I30" s="97"/>
      <c r="J30" s="98"/>
      <c r="K30" s="98"/>
      <c r="L30" s="98"/>
      <c r="M30" s="98"/>
      <c r="N30" s="98"/>
    </row>
    <row r="31" ht="15.75" customHeight="1">
      <c r="A31" s="88">
        <v>28.0</v>
      </c>
      <c r="B31" s="22"/>
      <c r="C31" s="22" t="s">
        <v>588</v>
      </c>
      <c r="D31" s="22" t="s">
        <v>589</v>
      </c>
      <c r="E31" s="89">
        <v>9.056226066E9</v>
      </c>
      <c r="F31" s="24" t="s">
        <v>3039</v>
      </c>
      <c r="G31" s="93"/>
      <c r="H31" s="93"/>
      <c r="I31" s="94"/>
      <c r="J31" s="95"/>
      <c r="K31" s="95"/>
      <c r="L31" s="95"/>
      <c r="M31" s="95"/>
      <c r="N31" s="95"/>
    </row>
    <row r="32" ht="15.75" customHeight="1">
      <c r="A32" s="88">
        <v>29.0</v>
      </c>
      <c r="B32" s="22"/>
      <c r="C32" s="22" t="s">
        <v>591</v>
      </c>
      <c r="D32" s="22" t="s">
        <v>3040</v>
      </c>
      <c r="E32" s="89">
        <v>6.477452645E9</v>
      </c>
      <c r="F32" s="24" t="s">
        <v>3041</v>
      </c>
      <c r="G32" s="96"/>
      <c r="H32" s="96"/>
      <c r="I32" s="97"/>
      <c r="J32" s="98"/>
      <c r="K32" s="98"/>
      <c r="L32" s="98"/>
      <c r="M32" s="98"/>
      <c r="N32" s="98"/>
    </row>
    <row r="33" ht="15.75" customHeight="1">
      <c r="A33" s="88">
        <v>30.0</v>
      </c>
      <c r="B33" s="22"/>
      <c r="C33" s="22" t="s">
        <v>71</v>
      </c>
      <c r="D33" s="22" t="s">
        <v>3042</v>
      </c>
      <c r="E33" s="89">
        <v>3.658855058E9</v>
      </c>
      <c r="F33" s="24" t="s">
        <v>3043</v>
      </c>
      <c r="G33" s="93"/>
      <c r="H33" s="93"/>
      <c r="I33" s="94"/>
      <c r="J33" s="95"/>
      <c r="K33" s="95"/>
      <c r="L33" s="95"/>
      <c r="M33" s="95"/>
      <c r="N33" s="95"/>
    </row>
    <row r="34" ht="15.75" customHeight="1">
      <c r="A34" s="88">
        <v>31.0</v>
      </c>
      <c r="B34" s="22"/>
      <c r="C34" s="22" t="s">
        <v>602</v>
      </c>
      <c r="D34" s="22" t="s">
        <v>603</v>
      </c>
      <c r="E34" s="89">
        <v>6.478301719E9</v>
      </c>
      <c r="F34" s="24" t="s">
        <v>3044</v>
      </c>
      <c r="G34" s="96"/>
      <c r="H34" s="96"/>
      <c r="I34" s="97"/>
      <c r="J34" s="98"/>
      <c r="K34" s="98"/>
      <c r="L34" s="98"/>
      <c r="M34" s="98"/>
      <c r="N34" s="98"/>
    </row>
    <row r="35" ht="15.75" customHeight="1">
      <c r="A35" s="88">
        <v>32.0</v>
      </c>
      <c r="B35" s="22"/>
      <c r="C35" s="22" t="s">
        <v>608</v>
      </c>
      <c r="D35" s="22" t="s">
        <v>609</v>
      </c>
      <c r="E35" s="89">
        <v>9.368109793E9</v>
      </c>
      <c r="F35" s="24" t="s">
        <v>3045</v>
      </c>
      <c r="G35" s="93"/>
      <c r="H35" s="93"/>
      <c r="I35" s="94"/>
      <c r="J35" s="95"/>
      <c r="K35" s="95"/>
      <c r="L35" s="95"/>
      <c r="M35" s="95"/>
      <c r="N35" s="95"/>
    </row>
    <row r="36" ht="15.75" customHeight="1">
      <c r="A36" s="88">
        <v>33.0</v>
      </c>
      <c r="B36" s="22"/>
      <c r="C36" s="22" t="s">
        <v>655</v>
      </c>
      <c r="D36" s="22" t="s">
        <v>656</v>
      </c>
      <c r="E36" s="89">
        <v>6.473239477E9</v>
      </c>
      <c r="F36" s="24" t="s">
        <v>3046</v>
      </c>
      <c r="G36" s="96"/>
      <c r="H36" s="96"/>
      <c r="I36" s="97"/>
      <c r="J36" s="98"/>
      <c r="K36" s="98"/>
      <c r="L36" s="98"/>
      <c r="M36" s="98"/>
      <c r="N36" s="98"/>
    </row>
    <row r="37" ht="15.75" customHeight="1">
      <c r="A37" s="88">
        <v>34.0</v>
      </c>
      <c r="B37" s="22"/>
      <c r="C37" s="22" t="s">
        <v>678</v>
      </c>
      <c r="D37" s="22" t="s">
        <v>679</v>
      </c>
      <c r="E37" s="89">
        <v>4.167069889E9</v>
      </c>
      <c r="F37" s="24" t="s">
        <v>3047</v>
      </c>
      <c r="G37" s="93"/>
      <c r="H37" s="93"/>
      <c r="I37" s="94"/>
      <c r="J37" s="95"/>
      <c r="K37" s="95"/>
      <c r="L37" s="95"/>
      <c r="M37" s="95"/>
      <c r="N37" s="95"/>
    </row>
    <row r="38" ht="15.75" customHeight="1">
      <c r="A38" s="88">
        <v>35.0</v>
      </c>
      <c r="B38" s="22"/>
      <c r="C38" s="22" t="s">
        <v>21</v>
      </c>
      <c r="D38" s="22" t="s">
        <v>22</v>
      </c>
      <c r="E38" s="89">
        <v>6.472893778E9</v>
      </c>
      <c r="F38" s="24" t="s">
        <v>3048</v>
      </c>
      <c r="G38" s="96"/>
      <c r="H38" s="96"/>
      <c r="I38" s="97"/>
      <c r="J38" s="98"/>
      <c r="K38" s="98"/>
      <c r="L38" s="98"/>
      <c r="M38" s="98"/>
      <c r="N38" s="98"/>
    </row>
    <row r="39" ht="15.75" customHeight="1">
      <c r="A39" s="88">
        <v>36.0</v>
      </c>
      <c r="B39" s="22"/>
      <c r="C39" s="22" t="s">
        <v>25</v>
      </c>
      <c r="D39" s="22" t="s">
        <v>26</v>
      </c>
      <c r="E39" s="89">
        <v>2.898927159E9</v>
      </c>
      <c r="F39" s="24" t="s">
        <v>3049</v>
      </c>
      <c r="G39" s="93"/>
      <c r="H39" s="93"/>
      <c r="I39" s="94"/>
      <c r="J39" s="95"/>
      <c r="K39" s="95"/>
      <c r="L39" s="95"/>
      <c r="M39" s="95"/>
      <c r="N39" s="95"/>
    </row>
    <row r="40" ht="15.75" customHeight="1">
      <c r="A40" s="88">
        <v>37.0</v>
      </c>
      <c r="B40" s="22"/>
      <c r="C40" s="22" t="s">
        <v>31</v>
      </c>
      <c r="D40" s="22" t="s">
        <v>32</v>
      </c>
      <c r="E40" s="89">
        <v>9.05631578E9</v>
      </c>
      <c r="F40" s="24" t="s">
        <v>3050</v>
      </c>
      <c r="G40" s="96"/>
      <c r="H40" s="96"/>
      <c r="I40" s="97"/>
      <c r="J40" s="98"/>
      <c r="K40" s="98"/>
      <c r="L40" s="98"/>
      <c r="M40" s="98"/>
      <c r="N40" s="98"/>
    </row>
    <row r="41" ht="15.75" customHeight="1">
      <c r="A41" s="88">
        <v>38.0</v>
      </c>
      <c r="B41" s="22"/>
      <c r="C41" s="22" t="s">
        <v>35</v>
      </c>
      <c r="D41" s="22" t="s">
        <v>36</v>
      </c>
      <c r="E41" s="89">
        <v>6.478852002E9</v>
      </c>
      <c r="F41" s="24" t="s">
        <v>3051</v>
      </c>
      <c r="G41" s="93"/>
      <c r="H41" s="93"/>
      <c r="I41" s="94"/>
      <c r="J41" s="95"/>
      <c r="K41" s="95"/>
      <c r="L41" s="95"/>
      <c r="M41" s="95"/>
      <c r="N41" s="95"/>
    </row>
    <row r="42" ht="15.75" customHeight="1">
      <c r="A42" s="88">
        <v>39.0</v>
      </c>
      <c r="B42" s="22"/>
      <c r="C42" s="22" t="s">
        <v>38</v>
      </c>
      <c r="D42" s="22" t="s">
        <v>39</v>
      </c>
      <c r="E42" s="89">
        <v>6.478718199E9</v>
      </c>
      <c r="F42" s="24" t="s">
        <v>3052</v>
      </c>
      <c r="G42" s="96"/>
      <c r="H42" s="96"/>
      <c r="I42" s="97"/>
      <c r="J42" s="98"/>
      <c r="K42" s="98"/>
      <c r="L42" s="98"/>
      <c r="M42" s="98"/>
      <c r="N42" s="98"/>
    </row>
    <row r="43" ht="15.75" customHeight="1">
      <c r="A43" s="88">
        <v>40.0</v>
      </c>
      <c r="B43" s="22"/>
      <c r="C43" s="22" t="s">
        <v>3053</v>
      </c>
      <c r="D43" s="22" t="s">
        <v>3054</v>
      </c>
      <c r="E43" s="89">
        <v>6.473810179E9</v>
      </c>
      <c r="F43" s="24" t="s">
        <v>3055</v>
      </c>
      <c r="G43" s="93"/>
      <c r="H43" s="93"/>
      <c r="I43" s="94"/>
      <c r="J43" s="95"/>
      <c r="K43" s="95"/>
      <c r="L43" s="95"/>
      <c r="M43" s="95"/>
      <c r="N43" s="95"/>
    </row>
    <row r="44" ht="15.75" customHeight="1">
      <c r="A44" s="88">
        <v>41.0</v>
      </c>
      <c r="B44" s="22"/>
      <c r="C44" s="22" t="s">
        <v>44</v>
      </c>
      <c r="D44" s="22" t="s">
        <v>45</v>
      </c>
      <c r="E44" s="89">
        <v>6.476797356E9</v>
      </c>
      <c r="F44" s="24" t="s">
        <v>3056</v>
      </c>
      <c r="G44" s="96"/>
      <c r="H44" s="96"/>
      <c r="I44" s="97"/>
      <c r="J44" s="98"/>
      <c r="K44" s="98"/>
      <c r="L44" s="98"/>
      <c r="M44" s="98"/>
      <c r="N44" s="98"/>
    </row>
    <row r="45" ht="15.75" customHeight="1">
      <c r="A45" s="88">
        <v>42.0</v>
      </c>
      <c r="B45" s="22"/>
      <c r="C45" s="22" t="s">
        <v>3057</v>
      </c>
      <c r="D45" s="22" t="s">
        <v>48</v>
      </c>
      <c r="E45" s="89">
        <v>6.478715606E9</v>
      </c>
      <c r="F45" s="24" t="s">
        <v>3058</v>
      </c>
      <c r="G45" s="93"/>
      <c r="H45" s="93"/>
      <c r="I45" s="94"/>
      <c r="J45" s="95"/>
      <c r="K45" s="95"/>
      <c r="L45" s="95"/>
      <c r="M45" s="95"/>
      <c r="N45" s="95"/>
    </row>
    <row r="46" ht="15.75" customHeight="1">
      <c r="A46" s="88">
        <v>43.0</v>
      </c>
      <c r="B46" s="22"/>
      <c r="C46" s="22" t="s">
        <v>3059</v>
      </c>
      <c r="D46" s="22" t="s">
        <v>51</v>
      </c>
      <c r="E46" s="89">
        <v>4.168987395E9</v>
      </c>
      <c r="F46" s="24" t="s">
        <v>3060</v>
      </c>
      <c r="G46" s="96"/>
      <c r="H46" s="96"/>
      <c r="I46" s="97"/>
      <c r="J46" s="98"/>
      <c r="K46" s="98"/>
      <c r="L46" s="98"/>
      <c r="M46" s="98"/>
      <c r="N46" s="98"/>
    </row>
    <row r="47" ht="15.75" customHeight="1">
      <c r="A47" s="88">
        <v>44.0</v>
      </c>
      <c r="B47" s="22"/>
      <c r="C47" s="22" t="s">
        <v>53</v>
      </c>
      <c r="D47" s="22" t="s">
        <v>54</v>
      </c>
      <c r="E47" s="89">
        <v>6.474603007E9</v>
      </c>
      <c r="F47" s="24" t="s">
        <v>3061</v>
      </c>
      <c r="G47" s="93"/>
      <c r="H47" s="93"/>
      <c r="I47" s="94"/>
      <c r="J47" s="95"/>
      <c r="K47" s="95"/>
      <c r="L47" s="95"/>
      <c r="M47" s="95"/>
      <c r="N47" s="95"/>
    </row>
    <row r="48" ht="15.75" customHeight="1">
      <c r="A48" s="88">
        <v>45.0</v>
      </c>
      <c r="B48" s="22"/>
      <c r="C48" s="22" t="s">
        <v>56</v>
      </c>
      <c r="D48" s="22" t="s">
        <v>57</v>
      </c>
      <c r="E48" s="89">
        <v>2.898932181E9</v>
      </c>
      <c r="F48" s="24" t="s">
        <v>3017</v>
      </c>
      <c r="G48" s="96"/>
      <c r="H48" s="96"/>
      <c r="I48" s="97"/>
      <c r="J48" s="98"/>
      <c r="K48" s="98"/>
      <c r="L48" s="98"/>
      <c r="M48" s="98"/>
      <c r="N48" s="98"/>
    </row>
    <row r="49" ht="15.75" customHeight="1">
      <c r="A49" s="88">
        <v>46.0</v>
      </c>
      <c r="B49" s="22"/>
      <c r="C49" s="22" t="s">
        <v>59</v>
      </c>
      <c r="D49" s="22" t="s">
        <v>60</v>
      </c>
      <c r="E49" s="89">
        <v>5.878871267E9</v>
      </c>
      <c r="F49" s="24" t="s">
        <v>3062</v>
      </c>
      <c r="G49" s="93"/>
      <c r="H49" s="93"/>
      <c r="I49" s="94"/>
      <c r="J49" s="95"/>
      <c r="K49" s="95"/>
      <c r="L49" s="95"/>
      <c r="M49" s="95"/>
      <c r="N49" s="95"/>
    </row>
    <row r="50" ht="15.75" customHeight="1">
      <c r="A50" s="88">
        <v>47.0</v>
      </c>
      <c r="B50" s="22"/>
      <c r="C50" s="22" t="s">
        <v>62</v>
      </c>
      <c r="D50" s="22" t="s">
        <v>63</v>
      </c>
      <c r="E50" s="89">
        <v>6.472049151E9</v>
      </c>
      <c r="F50" s="24" t="s">
        <v>3063</v>
      </c>
      <c r="G50" s="96"/>
      <c r="H50" s="96"/>
      <c r="I50" s="97"/>
      <c r="J50" s="98"/>
      <c r="K50" s="98"/>
      <c r="L50" s="98"/>
      <c r="M50" s="98"/>
      <c r="N50" s="98"/>
    </row>
    <row r="51" ht="15.75" customHeight="1">
      <c r="A51" s="88">
        <v>48.0</v>
      </c>
      <c r="B51" s="22"/>
      <c r="C51" s="22" t="s">
        <v>65</v>
      </c>
      <c r="D51" s="22" t="s">
        <v>66</v>
      </c>
      <c r="E51" s="89">
        <v>9.057818585E9</v>
      </c>
      <c r="F51" s="24" t="s">
        <v>3064</v>
      </c>
      <c r="G51" s="93"/>
      <c r="H51" s="93"/>
      <c r="I51" s="94"/>
      <c r="J51" s="95"/>
      <c r="K51" s="95"/>
      <c r="L51" s="95"/>
      <c r="M51" s="95"/>
      <c r="N51" s="95"/>
    </row>
    <row r="52" ht="15.75" customHeight="1">
      <c r="A52" s="88">
        <v>49.0</v>
      </c>
      <c r="B52" s="22"/>
      <c r="C52" s="22" t="s">
        <v>3065</v>
      </c>
      <c r="D52" s="22" t="s">
        <v>71</v>
      </c>
      <c r="E52" s="89">
        <v>4.167876341E9</v>
      </c>
      <c r="F52" s="24" t="s">
        <v>3066</v>
      </c>
      <c r="G52" s="96"/>
      <c r="H52" s="96"/>
      <c r="I52" s="97"/>
      <c r="J52" s="98"/>
      <c r="K52" s="98"/>
      <c r="L52" s="98"/>
      <c r="M52" s="98"/>
      <c r="N52" s="98"/>
    </row>
    <row r="53" ht="15.75" customHeight="1">
      <c r="A53" s="88">
        <v>50.0</v>
      </c>
      <c r="B53" s="22"/>
      <c r="C53" s="22" t="s">
        <v>74</v>
      </c>
      <c r="D53" s="22" t="s">
        <v>75</v>
      </c>
      <c r="E53" s="89">
        <v>4.1675271234E10</v>
      </c>
      <c r="F53" s="24" t="s">
        <v>3067</v>
      </c>
      <c r="G53" s="93"/>
      <c r="H53" s="93"/>
      <c r="I53" s="94"/>
      <c r="J53" s="95"/>
      <c r="K53" s="95"/>
      <c r="L53" s="95"/>
      <c r="M53" s="95"/>
      <c r="N53" s="95"/>
    </row>
    <row r="54" ht="15.75" customHeight="1">
      <c r="A54" s="88">
        <v>51.0</v>
      </c>
      <c r="B54" s="22"/>
      <c r="C54" s="22" t="s">
        <v>3068</v>
      </c>
      <c r="D54" s="22" t="s">
        <v>108</v>
      </c>
      <c r="E54" s="89">
        <v>6.138901019E9</v>
      </c>
      <c r="F54" s="24" t="s">
        <v>3069</v>
      </c>
      <c r="G54" s="96"/>
      <c r="H54" s="96"/>
      <c r="I54" s="97"/>
      <c r="J54" s="98"/>
      <c r="K54" s="98"/>
      <c r="L54" s="98"/>
      <c r="M54" s="98"/>
      <c r="N54" s="98"/>
    </row>
    <row r="55" ht="15.75" customHeight="1">
      <c r="A55" s="88">
        <v>52.0</v>
      </c>
      <c r="B55" s="22"/>
      <c r="C55" s="22" t="s">
        <v>122</v>
      </c>
      <c r="D55" s="22" t="s">
        <v>123</v>
      </c>
      <c r="E55" s="89">
        <v>4.167719956E9</v>
      </c>
      <c r="F55" s="24" t="s">
        <v>3070</v>
      </c>
      <c r="G55" s="93"/>
      <c r="H55" s="93"/>
      <c r="I55" s="94"/>
      <c r="J55" s="95"/>
      <c r="K55" s="95"/>
      <c r="L55" s="95"/>
      <c r="M55" s="95"/>
      <c r="N55" s="95"/>
    </row>
    <row r="56" ht="15.75" customHeight="1">
      <c r="A56" s="88">
        <v>53.0</v>
      </c>
      <c r="B56" s="22"/>
      <c r="C56" s="22" t="s">
        <v>129</v>
      </c>
      <c r="D56" s="22" t="s">
        <v>130</v>
      </c>
      <c r="E56" s="89">
        <v>6.476099891E9</v>
      </c>
      <c r="F56" s="24" t="s">
        <v>3071</v>
      </c>
      <c r="G56" s="96"/>
      <c r="H56" s="96"/>
      <c r="I56" s="97"/>
      <c r="J56" s="98"/>
      <c r="K56" s="98"/>
      <c r="L56" s="98"/>
      <c r="M56" s="98"/>
      <c r="N56" s="98"/>
    </row>
    <row r="57" ht="15.75" customHeight="1">
      <c r="A57" s="88">
        <v>54.0</v>
      </c>
      <c r="B57" s="22"/>
      <c r="C57" s="22" t="s">
        <v>138</v>
      </c>
      <c r="D57" s="22" t="s">
        <v>139</v>
      </c>
      <c r="E57" s="89">
        <v>6.475320333E9</v>
      </c>
      <c r="F57" s="24" t="s">
        <v>3072</v>
      </c>
      <c r="G57" s="93"/>
      <c r="H57" s="93"/>
      <c r="I57" s="94"/>
      <c r="J57" s="95"/>
      <c r="K57" s="95"/>
      <c r="L57" s="95"/>
      <c r="M57" s="95"/>
      <c r="N57" s="95"/>
    </row>
    <row r="58" ht="15.75" customHeight="1">
      <c r="A58" s="88">
        <v>55.0</v>
      </c>
      <c r="B58" s="22"/>
      <c r="C58" s="22" t="s">
        <v>142</v>
      </c>
      <c r="D58" s="22" t="s">
        <v>143</v>
      </c>
      <c r="E58" s="89">
        <v>6.472704567E9</v>
      </c>
      <c r="F58" s="24" t="s">
        <v>3073</v>
      </c>
      <c r="G58" s="96"/>
      <c r="H58" s="96"/>
      <c r="I58" s="97"/>
      <c r="J58" s="98"/>
      <c r="K58" s="98"/>
      <c r="L58" s="98"/>
      <c r="M58" s="98"/>
      <c r="N58" s="98"/>
    </row>
    <row r="59" ht="15.75" customHeight="1">
      <c r="A59" s="88">
        <v>56.0</v>
      </c>
      <c r="B59" s="22"/>
      <c r="C59" s="22" t="s">
        <v>152</v>
      </c>
      <c r="D59" s="22" t="s">
        <v>153</v>
      </c>
      <c r="E59" s="89">
        <v>9.056507997E9</v>
      </c>
      <c r="F59" s="24" t="s">
        <v>3074</v>
      </c>
      <c r="G59" s="93"/>
      <c r="H59" s="93"/>
      <c r="I59" s="94"/>
      <c r="J59" s="95"/>
      <c r="K59" s="95"/>
      <c r="L59" s="95"/>
      <c r="M59" s="95"/>
      <c r="N59" s="95"/>
    </row>
    <row r="60" ht="15.75" customHeight="1">
      <c r="A60" s="88">
        <v>57.0</v>
      </c>
      <c r="B60" s="22"/>
      <c r="C60" s="22" t="s">
        <v>164</v>
      </c>
      <c r="D60" s="22" t="s">
        <v>165</v>
      </c>
      <c r="E60" s="89">
        <v>6.472801146E9</v>
      </c>
      <c r="F60" s="24" t="s">
        <v>3075</v>
      </c>
      <c r="G60" s="96"/>
      <c r="H60" s="96"/>
      <c r="I60" s="97"/>
      <c r="J60" s="98"/>
      <c r="K60" s="98"/>
      <c r="L60" s="98"/>
      <c r="M60" s="98"/>
      <c r="N60" s="98"/>
    </row>
    <row r="61" ht="15.75" customHeight="1">
      <c r="A61" s="88">
        <v>58.0</v>
      </c>
      <c r="B61" s="22"/>
      <c r="C61" s="22" t="s">
        <v>523</v>
      </c>
      <c r="D61" s="22" t="s">
        <v>524</v>
      </c>
      <c r="E61" s="89">
        <v>4.168715056E9</v>
      </c>
      <c r="F61" s="24" t="s">
        <v>3076</v>
      </c>
      <c r="G61" s="93"/>
      <c r="H61" s="93"/>
      <c r="I61" s="94"/>
      <c r="J61" s="95"/>
      <c r="K61" s="95"/>
      <c r="L61" s="95"/>
      <c r="M61" s="95"/>
      <c r="N61" s="95"/>
    </row>
    <row r="62" ht="15.75" customHeight="1">
      <c r="A62" s="88">
        <v>59.0</v>
      </c>
      <c r="B62" s="22"/>
      <c r="C62" s="22" t="s">
        <v>688</v>
      </c>
      <c r="D62" s="22" t="s">
        <v>3077</v>
      </c>
      <c r="E62" s="89">
        <v>7.70201205E8</v>
      </c>
      <c r="F62" s="24" t="s">
        <v>3078</v>
      </c>
      <c r="G62" s="96"/>
      <c r="H62" s="96"/>
      <c r="I62" s="97"/>
      <c r="J62" s="98"/>
      <c r="K62" s="98"/>
      <c r="L62" s="98"/>
      <c r="M62" s="98"/>
      <c r="N62" s="98"/>
    </row>
    <row r="63" ht="15.75" customHeight="1">
      <c r="A63" s="88">
        <v>60.0</v>
      </c>
      <c r="B63" s="22"/>
      <c r="C63" s="22" t="s">
        <v>702</v>
      </c>
      <c r="D63" s="22" t="s">
        <v>3079</v>
      </c>
      <c r="E63" s="89">
        <v>2.43817327713E11</v>
      </c>
      <c r="F63" s="24" t="s">
        <v>3080</v>
      </c>
      <c r="G63" s="93"/>
      <c r="H63" s="93"/>
      <c r="I63" s="94"/>
      <c r="J63" s="95"/>
      <c r="K63" s="95"/>
      <c r="L63" s="95"/>
      <c r="M63" s="95"/>
      <c r="N63" s="95"/>
    </row>
    <row r="64" ht="15.75" customHeight="1">
      <c r="A64" s="88">
        <v>61.0</v>
      </c>
      <c r="B64" s="22"/>
      <c r="C64" s="22" t="s">
        <v>3081</v>
      </c>
      <c r="D64" s="22" t="s">
        <v>730</v>
      </c>
      <c r="E64" s="89">
        <v>4.16399952E9</v>
      </c>
      <c r="F64" s="24" t="s">
        <v>3082</v>
      </c>
      <c r="G64" s="96"/>
      <c r="H64" s="96"/>
      <c r="I64" s="97"/>
      <c r="J64" s="98"/>
      <c r="K64" s="98"/>
      <c r="L64" s="98"/>
      <c r="M64" s="98"/>
      <c r="N64" s="98"/>
    </row>
    <row r="65" ht="15.75" customHeight="1">
      <c r="A65" s="88">
        <v>62.0</v>
      </c>
      <c r="B65" s="22"/>
      <c r="C65" s="22" t="s">
        <v>752</v>
      </c>
      <c r="D65" s="22" t="s">
        <v>753</v>
      </c>
      <c r="E65" s="89">
        <v>6.479375733E9</v>
      </c>
      <c r="F65" s="24" t="s">
        <v>3083</v>
      </c>
      <c r="G65" s="93"/>
      <c r="H65" s="93"/>
      <c r="I65" s="94"/>
      <c r="J65" s="95"/>
      <c r="K65" s="95"/>
      <c r="L65" s="95"/>
      <c r="M65" s="95"/>
      <c r="N65" s="95"/>
    </row>
    <row r="66" ht="15.75" customHeight="1">
      <c r="A66" s="88">
        <v>63.0</v>
      </c>
      <c r="B66" s="22"/>
      <c r="C66" s="22" t="s">
        <v>3084</v>
      </c>
      <c r="D66" s="22" t="s">
        <v>757</v>
      </c>
      <c r="E66" s="89">
        <v>4.168203433E9</v>
      </c>
      <c r="F66" s="24" t="s">
        <v>3085</v>
      </c>
      <c r="G66" s="96"/>
      <c r="H66" s="96"/>
      <c r="I66" s="97"/>
      <c r="J66" s="98"/>
      <c r="K66" s="98"/>
      <c r="L66" s="98"/>
      <c r="M66" s="98"/>
      <c r="N66" s="98"/>
    </row>
    <row r="67" ht="15.75" customHeight="1">
      <c r="A67" s="88">
        <v>64.0</v>
      </c>
      <c r="B67" s="22"/>
      <c r="C67" s="22" t="s">
        <v>3086</v>
      </c>
      <c r="D67" s="22" t="s">
        <v>790</v>
      </c>
      <c r="E67" s="89">
        <v>8.11915173E8</v>
      </c>
      <c r="F67" s="24" t="s">
        <v>3087</v>
      </c>
      <c r="G67" s="93"/>
      <c r="H67" s="93"/>
      <c r="I67" s="94"/>
      <c r="J67" s="95"/>
      <c r="K67" s="95"/>
      <c r="L67" s="95"/>
      <c r="M67" s="95"/>
      <c r="N67" s="95"/>
    </row>
    <row r="68" ht="15.75" customHeight="1">
      <c r="A68" s="88">
        <v>65.0</v>
      </c>
      <c r="B68" s="22"/>
      <c r="C68" s="22" t="s">
        <v>803</v>
      </c>
      <c r="D68" s="22" t="s">
        <v>669</v>
      </c>
      <c r="E68" s="89">
        <v>4.169949946E9</v>
      </c>
      <c r="F68" s="24" t="s">
        <v>3088</v>
      </c>
      <c r="G68" s="96"/>
      <c r="H68" s="96"/>
      <c r="I68" s="97"/>
      <c r="J68" s="98"/>
      <c r="K68" s="98"/>
      <c r="L68" s="98"/>
      <c r="M68" s="98"/>
      <c r="N68" s="98"/>
    </row>
    <row r="69" ht="15.75" customHeight="1">
      <c r="A69" s="88">
        <v>66.0</v>
      </c>
      <c r="B69" s="22"/>
      <c r="C69" s="22" t="s">
        <v>870</v>
      </c>
      <c r="D69" s="22" t="s">
        <v>871</v>
      </c>
      <c r="E69" s="89">
        <v>6.472189391E9</v>
      </c>
      <c r="F69" s="24" t="s">
        <v>3089</v>
      </c>
      <c r="G69" s="93"/>
      <c r="H69" s="93"/>
      <c r="I69" s="94"/>
      <c r="J69" s="95"/>
      <c r="K69" s="95"/>
      <c r="L69" s="95"/>
      <c r="M69" s="95"/>
      <c r="N69" s="95"/>
    </row>
    <row r="70" ht="15.75" customHeight="1">
      <c r="A70" s="88">
        <v>67.0</v>
      </c>
      <c r="B70" s="22"/>
      <c r="C70" s="22" t="s">
        <v>873</v>
      </c>
      <c r="D70" s="22" t="s">
        <v>874</v>
      </c>
      <c r="E70" s="89">
        <v>6.472314704E9</v>
      </c>
      <c r="F70" s="24" t="s">
        <v>3090</v>
      </c>
      <c r="G70" s="96"/>
      <c r="H70" s="96"/>
      <c r="I70" s="97"/>
      <c r="J70" s="98"/>
      <c r="K70" s="98"/>
      <c r="L70" s="98"/>
      <c r="M70" s="98"/>
      <c r="N70" s="98"/>
    </row>
    <row r="71" ht="15.75" customHeight="1">
      <c r="A71" s="88">
        <v>68.0</v>
      </c>
      <c r="B71" s="22"/>
      <c r="C71" s="22" t="s">
        <v>877</v>
      </c>
      <c r="D71" s="22" t="s">
        <v>878</v>
      </c>
      <c r="E71" s="89">
        <v>4.167075686E9</v>
      </c>
      <c r="F71" s="24" t="s">
        <v>3091</v>
      </c>
      <c r="G71" s="93"/>
      <c r="H71" s="93"/>
      <c r="I71" s="94"/>
      <c r="J71" s="95"/>
      <c r="K71" s="95"/>
      <c r="L71" s="95"/>
      <c r="M71" s="95"/>
      <c r="N71" s="95"/>
    </row>
    <row r="72" ht="15.75" customHeight="1">
      <c r="A72" s="88">
        <v>69.0</v>
      </c>
      <c r="B72" s="22"/>
      <c r="C72" s="22" t="s">
        <v>880</v>
      </c>
      <c r="D72" s="22" t="s">
        <v>2580</v>
      </c>
      <c r="E72" s="89">
        <v>4.1650017E9</v>
      </c>
      <c r="F72" s="24" t="s">
        <v>3092</v>
      </c>
      <c r="G72" s="96"/>
      <c r="H72" s="96"/>
      <c r="I72" s="97"/>
      <c r="J72" s="98"/>
      <c r="K72" s="98"/>
      <c r="L72" s="98"/>
      <c r="M72" s="98"/>
      <c r="N72" s="98"/>
    </row>
    <row r="73" ht="15.75" customHeight="1">
      <c r="A73" s="88">
        <v>70.0</v>
      </c>
      <c r="B73" s="22"/>
      <c r="C73" s="22" t="s">
        <v>884</v>
      </c>
      <c r="D73" s="22" t="s">
        <v>885</v>
      </c>
      <c r="E73" s="89">
        <v>4.167883428E9</v>
      </c>
      <c r="F73" s="24" t="s">
        <v>3093</v>
      </c>
      <c r="G73" s="93"/>
      <c r="H73" s="93"/>
      <c r="I73" s="94"/>
      <c r="J73" s="95"/>
      <c r="K73" s="95"/>
      <c r="L73" s="95"/>
      <c r="M73" s="95"/>
      <c r="N73" s="95"/>
    </row>
    <row r="74" ht="15.75" customHeight="1">
      <c r="A74" s="88">
        <v>71.0</v>
      </c>
      <c r="B74" s="22"/>
      <c r="C74" s="22" t="s">
        <v>363</v>
      </c>
      <c r="D74" s="22" t="s">
        <v>3094</v>
      </c>
      <c r="E74" s="89">
        <v>6.47704129E9</v>
      </c>
      <c r="F74" s="24" t="s">
        <v>3095</v>
      </c>
      <c r="G74" s="96"/>
      <c r="H74" s="96"/>
      <c r="I74" s="97"/>
      <c r="J74" s="98"/>
      <c r="K74" s="98"/>
      <c r="L74" s="98"/>
      <c r="M74" s="98"/>
      <c r="N74" s="98"/>
    </row>
    <row r="75" ht="15.75" customHeight="1">
      <c r="A75" s="88">
        <v>72.0</v>
      </c>
      <c r="B75" s="22"/>
      <c r="C75" s="22" t="s">
        <v>889</v>
      </c>
      <c r="D75" s="22" t="s">
        <v>29</v>
      </c>
      <c r="E75" s="89">
        <v>6.475741578E9</v>
      </c>
      <c r="F75" s="24" t="s">
        <v>3096</v>
      </c>
      <c r="G75" s="93"/>
      <c r="H75" s="93"/>
      <c r="I75" s="94"/>
      <c r="J75" s="95"/>
      <c r="K75" s="95"/>
      <c r="L75" s="95"/>
      <c r="M75" s="95"/>
      <c r="N75" s="95"/>
    </row>
    <row r="76" ht="15.75" customHeight="1">
      <c r="A76" s="88">
        <v>73.0</v>
      </c>
      <c r="B76" s="22"/>
      <c r="C76" s="22" t="s">
        <v>892</v>
      </c>
      <c r="D76" s="22" t="s">
        <v>893</v>
      </c>
      <c r="E76" s="89">
        <v>2.897726202E9</v>
      </c>
      <c r="F76" s="24" t="s">
        <v>3097</v>
      </c>
      <c r="G76" s="96"/>
      <c r="H76" s="96"/>
      <c r="I76" s="97"/>
      <c r="J76" s="98"/>
      <c r="K76" s="98"/>
      <c r="L76" s="98"/>
      <c r="M76" s="98"/>
      <c r="N76" s="98"/>
    </row>
    <row r="77" ht="15.75" customHeight="1">
      <c r="A77" s="88">
        <v>74.0</v>
      </c>
      <c r="B77" s="22"/>
      <c r="C77" s="22" t="s">
        <v>895</v>
      </c>
      <c r="D77" s="22" t="s">
        <v>896</v>
      </c>
      <c r="E77" s="89">
        <v>4.169384399E9</v>
      </c>
      <c r="F77" s="24" t="s">
        <v>3098</v>
      </c>
      <c r="G77" s="93"/>
      <c r="H77" s="93"/>
      <c r="I77" s="94"/>
      <c r="J77" s="95"/>
      <c r="K77" s="95"/>
      <c r="L77" s="95"/>
      <c r="M77" s="95"/>
      <c r="N77" s="95"/>
    </row>
    <row r="78" ht="15.75" customHeight="1">
      <c r="A78" s="88">
        <v>75.0</v>
      </c>
      <c r="B78" s="22"/>
      <c r="C78" s="22" t="s">
        <v>898</v>
      </c>
      <c r="D78" s="22" t="s">
        <v>899</v>
      </c>
      <c r="E78" s="89">
        <v>6.479856104E9</v>
      </c>
      <c r="F78" s="24" t="s">
        <v>3099</v>
      </c>
      <c r="G78" s="96"/>
      <c r="H78" s="96"/>
      <c r="I78" s="97"/>
      <c r="J78" s="98"/>
      <c r="K78" s="98"/>
      <c r="L78" s="98"/>
      <c r="M78" s="98"/>
      <c r="N78" s="98"/>
    </row>
    <row r="79" ht="15.75" customHeight="1">
      <c r="A79" s="88">
        <v>76.0</v>
      </c>
      <c r="B79" s="22"/>
      <c r="C79" s="22" t="s">
        <v>902</v>
      </c>
      <c r="D79" s="22" t="s">
        <v>903</v>
      </c>
      <c r="E79" s="89">
        <v>6.479713535E9</v>
      </c>
      <c r="F79" s="24" t="s">
        <v>3100</v>
      </c>
      <c r="G79" s="93"/>
      <c r="H79" s="93"/>
      <c r="I79" s="94"/>
      <c r="J79" s="95"/>
      <c r="K79" s="95"/>
      <c r="L79" s="95"/>
      <c r="M79" s="95"/>
      <c r="N79" s="95"/>
    </row>
    <row r="80" ht="15.75" customHeight="1">
      <c r="A80" s="88">
        <v>77.0</v>
      </c>
      <c r="B80" s="22"/>
      <c r="C80" s="22" t="s">
        <v>905</v>
      </c>
      <c r="D80" s="22" t="s">
        <v>906</v>
      </c>
      <c r="E80" s="89">
        <v>4.168343997E9</v>
      </c>
      <c r="F80" s="24" t="s">
        <v>3101</v>
      </c>
      <c r="G80" s="96"/>
      <c r="H80" s="96"/>
      <c r="I80" s="97"/>
      <c r="J80" s="98"/>
      <c r="K80" s="98"/>
      <c r="L80" s="98"/>
      <c r="M80" s="98"/>
      <c r="N80" s="98"/>
    </row>
    <row r="81" ht="15.75" customHeight="1">
      <c r="A81" s="88">
        <v>78.0</v>
      </c>
      <c r="B81" s="22"/>
      <c r="C81" s="22" t="s">
        <v>908</v>
      </c>
      <c r="D81" s="22" t="s">
        <v>909</v>
      </c>
      <c r="E81" s="89">
        <v>2.899962253E9</v>
      </c>
      <c r="F81" s="24" t="s">
        <v>3102</v>
      </c>
      <c r="G81" s="93"/>
      <c r="H81" s="93"/>
      <c r="I81" s="94"/>
      <c r="J81" s="95"/>
      <c r="K81" s="95"/>
      <c r="L81" s="95"/>
      <c r="M81" s="95"/>
      <c r="N81" s="95"/>
    </row>
    <row r="82" ht="15.75" customHeight="1">
      <c r="A82" s="88">
        <v>79.0</v>
      </c>
      <c r="B82" s="22"/>
      <c r="C82" s="22" t="s">
        <v>911</v>
      </c>
      <c r="D82" s="22" t="s">
        <v>753</v>
      </c>
      <c r="E82" s="89">
        <v>4.168565276E9</v>
      </c>
      <c r="F82" s="24" t="s">
        <v>3103</v>
      </c>
      <c r="G82" s="96"/>
      <c r="H82" s="96"/>
      <c r="I82" s="97"/>
      <c r="J82" s="98"/>
      <c r="K82" s="98"/>
      <c r="L82" s="98"/>
      <c r="M82" s="98"/>
      <c r="N82" s="98"/>
    </row>
    <row r="83" ht="15.75" customHeight="1">
      <c r="A83" s="88">
        <v>80.0</v>
      </c>
      <c r="B83" s="22"/>
      <c r="C83" s="22" t="s">
        <v>914</v>
      </c>
      <c r="D83" s="22" t="s">
        <v>915</v>
      </c>
      <c r="E83" s="89">
        <v>4.168563608E9</v>
      </c>
      <c r="F83" s="24" t="s">
        <v>3104</v>
      </c>
      <c r="G83" s="93"/>
      <c r="H83" s="93"/>
      <c r="I83" s="94"/>
      <c r="J83" s="95"/>
      <c r="K83" s="95"/>
      <c r="L83" s="95"/>
      <c r="M83" s="95"/>
      <c r="N83" s="95"/>
    </row>
    <row r="84" ht="15.75" customHeight="1">
      <c r="A84" s="88">
        <v>81.0</v>
      </c>
      <c r="B84" s="22"/>
      <c r="C84" s="22" t="s">
        <v>917</v>
      </c>
      <c r="D84" s="22" t="s">
        <v>918</v>
      </c>
      <c r="E84" s="89">
        <v>4.163889243E9</v>
      </c>
      <c r="F84" s="24" t="s">
        <v>3105</v>
      </c>
      <c r="G84" s="96"/>
      <c r="H84" s="96"/>
      <c r="I84" s="97"/>
      <c r="J84" s="98"/>
      <c r="K84" s="98"/>
      <c r="L84" s="98"/>
      <c r="M84" s="98"/>
      <c r="N84" s="98"/>
    </row>
    <row r="85" ht="15.75" customHeight="1">
      <c r="A85" s="88">
        <v>82.0</v>
      </c>
      <c r="B85" s="22"/>
      <c r="C85" s="22" t="s">
        <v>920</v>
      </c>
      <c r="D85" s="22" t="s">
        <v>921</v>
      </c>
      <c r="E85" s="89">
        <v>6.478259585E9</v>
      </c>
      <c r="F85" s="24" t="s">
        <v>3106</v>
      </c>
      <c r="G85" s="93"/>
      <c r="H85" s="93"/>
      <c r="I85" s="94"/>
      <c r="J85" s="95"/>
      <c r="K85" s="95"/>
      <c r="L85" s="95"/>
      <c r="M85" s="95"/>
      <c r="N85" s="95"/>
    </row>
    <row r="86" ht="15.75" customHeight="1">
      <c r="A86" s="88">
        <v>83.0</v>
      </c>
      <c r="B86" s="22"/>
      <c r="C86" s="22" t="s">
        <v>923</v>
      </c>
      <c r="D86" s="22" t="s">
        <v>924</v>
      </c>
      <c r="E86" s="89">
        <v>4.16799505E9</v>
      </c>
      <c r="F86" s="24" t="s">
        <v>3107</v>
      </c>
      <c r="G86" s="96"/>
      <c r="H86" s="96"/>
      <c r="I86" s="97"/>
      <c r="J86" s="98"/>
      <c r="K86" s="98"/>
      <c r="L86" s="98"/>
      <c r="M86" s="98"/>
      <c r="N86" s="98"/>
    </row>
    <row r="87" ht="15.75" customHeight="1">
      <c r="A87" s="88">
        <v>84.0</v>
      </c>
      <c r="B87" s="22"/>
      <c r="C87" s="22" t="s">
        <v>442</v>
      </c>
      <c r="D87" s="22" t="s">
        <v>443</v>
      </c>
      <c r="E87" s="89">
        <v>9.052517438E9</v>
      </c>
      <c r="F87" s="24" t="s">
        <v>3033</v>
      </c>
      <c r="G87" s="93"/>
      <c r="H87" s="93"/>
      <c r="I87" s="94"/>
      <c r="J87" s="95"/>
      <c r="K87" s="95"/>
      <c r="L87" s="95"/>
      <c r="M87" s="95"/>
      <c r="N87" s="95"/>
    </row>
    <row r="88" ht="15.75" customHeight="1">
      <c r="A88" s="88">
        <v>85.0</v>
      </c>
      <c r="B88" s="22"/>
      <c r="C88" s="22" t="s">
        <v>926</v>
      </c>
      <c r="D88" s="22" t="s">
        <v>927</v>
      </c>
      <c r="E88" s="89">
        <v>6.475752644E9</v>
      </c>
      <c r="F88" s="24" t="s">
        <v>3108</v>
      </c>
      <c r="G88" s="96"/>
      <c r="H88" s="96"/>
      <c r="I88" s="97"/>
      <c r="J88" s="98"/>
      <c r="K88" s="98"/>
      <c r="L88" s="98"/>
      <c r="M88" s="98"/>
      <c r="N88" s="98"/>
    </row>
    <row r="89" ht="15.75" customHeight="1">
      <c r="A89" s="88">
        <v>86.0</v>
      </c>
      <c r="B89" s="22"/>
      <c r="C89" s="22" t="s">
        <v>930</v>
      </c>
      <c r="D89" s="22" t="s">
        <v>931</v>
      </c>
      <c r="E89" s="89">
        <v>6.475155761E9</v>
      </c>
      <c r="F89" s="24" t="s">
        <v>3109</v>
      </c>
      <c r="G89" s="93"/>
      <c r="H89" s="93"/>
      <c r="I89" s="94"/>
      <c r="J89" s="95"/>
      <c r="K89" s="95"/>
      <c r="L89" s="95"/>
      <c r="M89" s="95"/>
      <c r="N89" s="95"/>
    </row>
    <row r="90" ht="15.75" customHeight="1">
      <c r="A90" s="88">
        <v>87.0</v>
      </c>
      <c r="B90" s="22"/>
      <c r="C90" s="22" t="s">
        <v>933</v>
      </c>
      <c r="D90" s="22" t="s">
        <v>934</v>
      </c>
      <c r="E90" s="89">
        <v>2.892405702E9</v>
      </c>
      <c r="F90" s="24" t="s">
        <v>3110</v>
      </c>
      <c r="G90" s="96"/>
      <c r="H90" s="96"/>
      <c r="I90" s="97"/>
      <c r="J90" s="98"/>
      <c r="K90" s="98"/>
      <c r="L90" s="98"/>
      <c r="M90" s="98"/>
      <c r="N90" s="98"/>
    </row>
    <row r="91" ht="15.75" customHeight="1">
      <c r="A91" s="88">
        <v>88.0</v>
      </c>
      <c r="B91" s="22"/>
      <c r="C91" s="22" t="s">
        <v>3111</v>
      </c>
      <c r="D91" s="22" t="s">
        <v>937</v>
      </c>
      <c r="E91" s="89">
        <v>6.476379919E9</v>
      </c>
      <c r="F91" s="24" t="s">
        <v>3112</v>
      </c>
      <c r="G91" s="93"/>
      <c r="H91" s="93"/>
      <c r="I91" s="94"/>
      <c r="J91" s="95"/>
      <c r="K91" s="95"/>
      <c r="L91" s="95"/>
      <c r="M91" s="95"/>
      <c r="N91" s="95"/>
    </row>
    <row r="92" ht="15.75" customHeight="1">
      <c r="A92" s="88">
        <v>89.0</v>
      </c>
      <c r="B92" s="22"/>
      <c r="C92" s="22" t="s">
        <v>2259</v>
      </c>
      <c r="D92" s="22" t="s">
        <v>940</v>
      </c>
      <c r="E92" s="89">
        <v>9.056551054E9</v>
      </c>
      <c r="F92" s="24" t="s">
        <v>3113</v>
      </c>
      <c r="G92" s="96"/>
      <c r="H92" s="96"/>
      <c r="I92" s="97"/>
      <c r="J92" s="98"/>
      <c r="K92" s="98"/>
      <c r="L92" s="98"/>
      <c r="M92" s="98"/>
      <c r="N92" s="98"/>
    </row>
    <row r="93" ht="15.75" customHeight="1">
      <c r="A93" s="88">
        <v>90.0</v>
      </c>
      <c r="B93" s="22"/>
      <c r="C93" s="22" t="s">
        <v>942</v>
      </c>
      <c r="D93" s="22" t="s">
        <v>943</v>
      </c>
      <c r="E93" s="89">
        <v>4.168461017E9</v>
      </c>
      <c r="F93" s="24" t="s">
        <v>3114</v>
      </c>
      <c r="G93" s="93"/>
      <c r="H93" s="93"/>
      <c r="I93" s="94"/>
      <c r="J93" s="95"/>
      <c r="K93" s="95"/>
      <c r="L93" s="95"/>
      <c r="M93" s="95"/>
      <c r="N93" s="95"/>
    </row>
    <row r="94" ht="15.75" customHeight="1">
      <c r="A94" s="88">
        <v>91.0</v>
      </c>
      <c r="B94" s="22"/>
      <c r="C94" s="22" t="s">
        <v>3115</v>
      </c>
      <c r="D94" s="22" t="s">
        <v>947</v>
      </c>
      <c r="E94" s="89">
        <v>9.054252666E9</v>
      </c>
      <c r="F94" s="24" t="s">
        <v>3116</v>
      </c>
      <c r="G94" s="96"/>
      <c r="H94" s="96"/>
      <c r="I94" s="97"/>
      <c r="J94" s="98"/>
      <c r="K94" s="98"/>
      <c r="L94" s="98"/>
      <c r="M94" s="98"/>
      <c r="N94" s="98"/>
    </row>
    <row r="95" ht="15.75" customHeight="1">
      <c r="A95" s="88">
        <v>92.0</v>
      </c>
      <c r="B95" s="22"/>
      <c r="C95" s="22" t="s">
        <v>269</v>
      </c>
      <c r="D95" s="22" t="s">
        <v>949</v>
      </c>
      <c r="E95" s="89">
        <v>6.472960551E9</v>
      </c>
      <c r="F95" s="24" t="s">
        <v>3117</v>
      </c>
      <c r="G95" s="93"/>
      <c r="H95" s="93"/>
      <c r="I95" s="94"/>
      <c r="J95" s="95"/>
      <c r="K95" s="95"/>
      <c r="L95" s="95"/>
      <c r="M95" s="95"/>
      <c r="N95" s="95"/>
    </row>
    <row r="96" ht="15.75" customHeight="1">
      <c r="A96" s="88">
        <v>93.0</v>
      </c>
      <c r="B96" s="22"/>
      <c r="C96" s="22" t="s">
        <v>952</v>
      </c>
      <c r="D96" s="22" t="s">
        <v>953</v>
      </c>
      <c r="E96" s="89">
        <v>6.477813503E9</v>
      </c>
      <c r="F96" s="24" t="s">
        <v>3118</v>
      </c>
      <c r="G96" s="96"/>
      <c r="H96" s="96"/>
      <c r="I96" s="97"/>
      <c r="J96" s="98"/>
      <c r="K96" s="98"/>
      <c r="L96" s="98"/>
      <c r="M96" s="98"/>
      <c r="N96" s="98"/>
    </row>
    <row r="97" ht="15.75" customHeight="1">
      <c r="A97" s="88">
        <v>94.0</v>
      </c>
      <c r="B97" s="22"/>
      <c r="C97" s="22" t="s">
        <v>4</v>
      </c>
      <c r="D97" s="22" t="s">
        <v>955</v>
      </c>
      <c r="E97" s="89">
        <v>4.168394933E9</v>
      </c>
      <c r="F97" s="24" t="s">
        <v>3119</v>
      </c>
      <c r="G97" s="93"/>
      <c r="H97" s="93"/>
      <c r="I97" s="94"/>
      <c r="J97" s="95"/>
      <c r="K97" s="95"/>
      <c r="L97" s="95"/>
      <c r="M97" s="95"/>
      <c r="N97" s="95"/>
    </row>
    <row r="98" ht="15.75" customHeight="1">
      <c r="A98" s="88">
        <v>95.0</v>
      </c>
      <c r="B98" s="22"/>
      <c r="C98" s="22" t="s">
        <v>957</v>
      </c>
      <c r="D98" s="22" t="s">
        <v>66</v>
      </c>
      <c r="E98" s="89">
        <v>6.47612805E9</v>
      </c>
      <c r="F98" s="24" t="s">
        <v>3120</v>
      </c>
      <c r="G98" s="96"/>
      <c r="H98" s="96"/>
      <c r="I98" s="97"/>
      <c r="J98" s="98"/>
      <c r="K98" s="98"/>
      <c r="L98" s="98"/>
      <c r="M98" s="98"/>
      <c r="N98" s="98"/>
    </row>
    <row r="99" ht="15.75" customHeight="1">
      <c r="A99" s="88">
        <v>96.0</v>
      </c>
      <c r="B99" s="22"/>
      <c r="C99" s="22" t="s">
        <v>959</v>
      </c>
      <c r="D99" s="22" t="s">
        <v>960</v>
      </c>
      <c r="E99" s="89">
        <v>4.168994796E9</v>
      </c>
      <c r="F99" s="24" t="s">
        <v>3121</v>
      </c>
      <c r="G99" s="93"/>
      <c r="H99" s="93"/>
      <c r="I99" s="94"/>
      <c r="J99" s="95"/>
      <c r="K99" s="95"/>
      <c r="L99" s="95"/>
      <c r="M99" s="95"/>
      <c r="N99" s="95"/>
    </row>
    <row r="100" ht="15.75" customHeight="1">
      <c r="A100" s="88">
        <v>97.0</v>
      </c>
      <c r="B100" s="22"/>
      <c r="C100" s="22" t="s">
        <v>962</v>
      </c>
      <c r="D100" s="22" t="s">
        <v>963</v>
      </c>
      <c r="E100" s="89">
        <v>6.478251143E9</v>
      </c>
      <c r="F100" s="24" t="s">
        <v>3122</v>
      </c>
      <c r="G100" s="96"/>
      <c r="H100" s="96"/>
      <c r="I100" s="97"/>
      <c r="J100" s="98"/>
      <c r="K100" s="98"/>
      <c r="L100" s="98"/>
      <c r="M100" s="98"/>
      <c r="N100" s="98"/>
    </row>
    <row r="101" ht="15.75" customHeight="1">
      <c r="A101" s="88">
        <v>98.0</v>
      </c>
      <c r="B101" s="22"/>
      <c r="C101" s="22" t="s">
        <v>306</v>
      </c>
      <c r="D101" s="22" t="s">
        <v>3123</v>
      </c>
      <c r="E101" s="89">
        <v>6.476860903E9</v>
      </c>
      <c r="F101" s="24" t="s">
        <v>3124</v>
      </c>
      <c r="G101" s="93"/>
      <c r="H101" s="93"/>
      <c r="I101" s="94"/>
      <c r="J101" s="95"/>
      <c r="K101" s="95"/>
      <c r="L101" s="95"/>
      <c r="M101" s="95"/>
      <c r="N101" s="95"/>
    </row>
    <row r="102" ht="15.75" customHeight="1">
      <c r="A102" s="88">
        <v>99.0</v>
      </c>
      <c r="B102" s="22"/>
      <c r="C102" s="22" t="s">
        <v>968</v>
      </c>
      <c r="D102" s="22" t="s">
        <v>969</v>
      </c>
      <c r="E102" s="89">
        <v>6.478800762E9</v>
      </c>
      <c r="F102" s="24" t="s">
        <v>3125</v>
      </c>
      <c r="G102" s="96"/>
      <c r="H102" s="96"/>
      <c r="I102" s="97"/>
      <c r="J102" s="98"/>
      <c r="K102" s="98"/>
      <c r="L102" s="98"/>
      <c r="M102" s="98"/>
      <c r="N102" s="98"/>
    </row>
    <row r="103" ht="15.75" customHeight="1">
      <c r="A103" s="88">
        <v>100.0</v>
      </c>
      <c r="B103" s="22"/>
      <c r="C103" s="22" t="s">
        <v>971</v>
      </c>
      <c r="D103" s="22" t="s">
        <v>972</v>
      </c>
      <c r="E103" s="89">
        <v>9.053991083E9</v>
      </c>
      <c r="F103" s="24" t="s">
        <v>3126</v>
      </c>
      <c r="G103" s="93"/>
      <c r="H103" s="93"/>
      <c r="I103" s="94"/>
      <c r="J103" s="95"/>
      <c r="K103" s="95"/>
      <c r="L103" s="95"/>
      <c r="M103" s="95"/>
      <c r="N103" s="95"/>
    </row>
    <row r="104" ht="15.75" customHeight="1">
      <c r="A104" s="88">
        <v>101.0</v>
      </c>
      <c r="B104" s="22"/>
      <c r="C104" s="22" t="s">
        <v>974</v>
      </c>
      <c r="D104" s="22" t="s">
        <v>975</v>
      </c>
      <c r="E104" s="89">
        <v>6.476942305E9</v>
      </c>
      <c r="F104" s="24" t="s">
        <v>3127</v>
      </c>
      <c r="G104" s="96"/>
      <c r="H104" s="96"/>
      <c r="I104" s="97"/>
      <c r="J104" s="98"/>
      <c r="K104" s="98"/>
      <c r="L104" s="98"/>
      <c r="M104" s="98"/>
      <c r="N104" s="98"/>
    </row>
    <row r="105" ht="15.75" customHeight="1">
      <c r="A105" s="88">
        <v>102.0</v>
      </c>
      <c r="B105" s="22"/>
      <c r="C105" s="22" t="s">
        <v>977</v>
      </c>
      <c r="D105" s="22" t="s">
        <v>978</v>
      </c>
      <c r="E105" s="89">
        <v>6.478017035E9</v>
      </c>
      <c r="F105" s="24" t="s">
        <v>3128</v>
      </c>
      <c r="G105" s="93"/>
      <c r="H105" s="93"/>
      <c r="I105" s="94"/>
      <c r="J105" s="95"/>
      <c r="K105" s="95"/>
      <c r="L105" s="95"/>
      <c r="M105" s="95"/>
      <c r="N105" s="95"/>
    </row>
    <row r="106" ht="15.75" customHeight="1">
      <c r="A106" s="88">
        <v>103.0</v>
      </c>
      <c r="B106" s="22"/>
      <c r="C106" s="22" t="s">
        <v>980</v>
      </c>
      <c r="D106" s="22" t="s">
        <v>981</v>
      </c>
      <c r="E106" s="89">
        <v>6.478300382E9</v>
      </c>
      <c r="F106" s="24" t="s">
        <v>3129</v>
      </c>
      <c r="G106" s="96"/>
      <c r="H106" s="96"/>
      <c r="I106" s="97"/>
      <c r="J106" s="98"/>
      <c r="K106" s="98"/>
      <c r="L106" s="98"/>
      <c r="M106" s="98"/>
      <c r="N106" s="98"/>
    </row>
    <row r="107" ht="15.75" customHeight="1">
      <c r="A107" s="88">
        <v>104.0</v>
      </c>
      <c r="B107" s="22"/>
      <c r="C107" s="22" t="s">
        <v>984</v>
      </c>
      <c r="D107" s="22" t="s">
        <v>985</v>
      </c>
      <c r="E107" s="89">
        <v>3.65662202E9</v>
      </c>
      <c r="F107" s="24" t="s">
        <v>3130</v>
      </c>
      <c r="G107" s="93"/>
      <c r="H107" s="93"/>
      <c r="I107" s="94"/>
      <c r="J107" s="95"/>
      <c r="K107" s="95"/>
      <c r="L107" s="95"/>
      <c r="M107" s="95"/>
      <c r="N107" s="95"/>
    </row>
    <row r="108" ht="15.75" customHeight="1">
      <c r="A108" s="88">
        <v>105.0</v>
      </c>
      <c r="B108" s="22"/>
      <c r="C108" s="22" t="s">
        <v>926</v>
      </c>
      <c r="D108" s="22" t="s">
        <v>987</v>
      </c>
      <c r="E108" s="89">
        <v>4.166182623E9</v>
      </c>
      <c r="F108" s="24" t="s">
        <v>3131</v>
      </c>
      <c r="G108" s="96"/>
      <c r="H108" s="96"/>
      <c r="I108" s="97"/>
      <c r="J108" s="98"/>
      <c r="K108" s="98"/>
      <c r="L108" s="98"/>
      <c r="M108" s="98"/>
      <c r="N108" s="98"/>
    </row>
    <row r="109" ht="15.75" customHeight="1">
      <c r="A109" s="88">
        <v>106.0</v>
      </c>
      <c r="B109" s="22"/>
      <c r="C109" s="22" t="s">
        <v>989</v>
      </c>
      <c r="D109" s="22" t="s">
        <v>990</v>
      </c>
      <c r="E109" s="89">
        <v>4.163024173E9</v>
      </c>
      <c r="F109" s="24" t="s">
        <v>3132</v>
      </c>
      <c r="G109" s="93"/>
      <c r="H109" s="93"/>
      <c r="I109" s="94"/>
      <c r="J109" s="95"/>
      <c r="K109" s="95"/>
      <c r="L109" s="95"/>
      <c r="M109" s="95"/>
      <c r="N109" s="95"/>
    </row>
    <row r="110" ht="15.75" customHeight="1">
      <c r="A110" s="88">
        <v>107.0</v>
      </c>
      <c r="B110" s="22"/>
      <c r="C110" s="22" t="s">
        <v>992</v>
      </c>
      <c r="D110" s="22" t="s">
        <v>993</v>
      </c>
      <c r="E110" s="89">
        <v>4.1684595E9</v>
      </c>
      <c r="F110" s="24" t="s">
        <v>3133</v>
      </c>
      <c r="G110" s="96"/>
      <c r="H110" s="96"/>
      <c r="I110" s="97"/>
      <c r="J110" s="98"/>
      <c r="K110" s="98"/>
      <c r="L110" s="98"/>
      <c r="M110" s="98"/>
      <c r="N110" s="98"/>
    </row>
    <row r="111" ht="15.75" customHeight="1">
      <c r="A111" s="88">
        <v>108.0</v>
      </c>
      <c r="B111" s="22"/>
      <c r="C111" s="22" t="s">
        <v>995</v>
      </c>
      <c r="D111" s="22" t="s">
        <v>996</v>
      </c>
      <c r="E111" s="89">
        <v>4.167225501E9</v>
      </c>
      <c r="F111" s="24" t="s">
        <v>3134</v>
      </c>
      <c r="G111" s="93"/>
      <c r="H111" s="93"/>
      <c r="I111" s="94"/>
      <c r="J111" s="95"/>
      <c r="K111" s="95"/>
      <c r="L111" s="95"/>
      <c r="M111" s="95"/>
      <c r="N111" s="95"/>
    </row>
    <row r="112" ht="15.75" customHeight="1">
      <c r="A112" s="88">
        <v>109.0</v>
      </c>
      <c r="B112" s="22"/>
      <c r="C112" s="22" t="s">
        <v>3081</v>
      </c>
      <c r="D112" s="22" t="s">
        <v>730</v>
      </c>
      <c r="E112" s="89">
        <v>4.16399952E9</v>
      </c>
      <c r="F112" s="24" t="s">
        <v>3082</v>
      </c>
      <c r="G112" s="96"/>
      <c r="H112" s="96"/>
      <c r="I112" s="97"/>
      <c r="J112" s="98"/>
      <c r="K112" s="98"/>
      <c r="L112" s="98"/>
      <c r="M112" s="98"/>
      <c r="N112" s="98"/>
    </row>
    <row r="113" ht="15.75" customHeight="1">
      <c r="A113" s="88">
        <v>110.0</v>
      </c>
      <c r="B113" s="22"/>
      <c r="C113" s="22" t="s">
        <v>999</v>
      </c>
      <c r="D113" s="22" t="s">
        <v>1000</v>
      </c>
      <c r="E113" s="89">
        <v>4.165271769E9</v>
      </c>
      <c r="F113" s="24" t="s">
        <v>3135</v>
      </c>
      <c r="G113" s="93"/>
      <c r="H113" s="93"/>
      <c r="I113" s="94"/>
      <c r="J113" s="95"/>
      <c r="K113" s="95"/>
      <c r="L113" s="95"/>
      <c r="M113" s="95"/>
      <c r="N113" s="95"/>
    </row>
    <row r="114" ht="15.75" customHeight="1">
      <c r="A114" s="88">
        <v>111.0</v>
      </c>
      <c r="B114" s="22"/>
      <c r="C114" s="22" t="s">
        <v>557</v>
      </c>
      <c r="D114" s="22" t="s">
        <v>1002</v>
      </c>
      <c r="E114" s="89">
        <v>6.475400464E9</v>
      </c>
      <c r="F114" s="24" t="s">
        <v>3136</v>
      </c>
      <c r="G114" s="96"/>
      <c r="H114" s="96"/>
      <c r="I114" s="97"/>
      <c r="J114" s="98"/>
      <c r="K114" s="98"/>
      <c r="L114" s="98"/>
      <c r="M114" s="98"/>
      <c r="N114" s="98"/>
    </row>
    <row r="115" ht="15.75" customHeight="1">
      <c r="A115" s="88">
        <v>112.0</v>
      </c>
      <c r="B115" s="22"/>
      <c r="C115" s="22" t="s">
        <v>1005</v>
      </c>
      <c r="D115" s="22" t="s">
        <v>1006</v>
      </c>
      <c r="E115" s="89">
        <v>2.897838961E9</v>
      </c>
      <c r="F115" s="24" t="s">
        <v>3137</v>
      </c>
      <c r="G115" s="93"/>
      <c r="H115" s="93"/>
      <c r="I115" s="94"/>
      <c r="J115" s="95"/>
      <c r="K115" s="95"/>
      <c r="L115" s="95"/>
      <c r="M115" s="95"/>
      <c r="N115" s="95"/>
    </row>
    <row r="116" ht="15.75" customHeight="1">
      <c r="A116" s="88">
        <v>113.0</v>
      </c>
      <c r="B116" s="22"/>
      <c r="C116" s="22" t="s">
        <v>1009</v>
      </c>
      <c r="D116" s="22" t="s">
        <v>1010</v>
      </c>
      <c r="E116" s="89">
        <v>6.472970277E9</v>
      </c>
      <c r="F116" s="24" t="s">
        <v>3138</v>
      </c>
      <c r="G116" s="96"/>
      <c r="H116" s="96"/>
      <c r="I116" s="97"/>
      <c r="J116" s="98"/>
      <c r="K116" s="98"/>
      <c r="L116" s="98"/>
      <c r="M116" s="98"/>
      <c r="N116" s="98"/>
    </row>
    <row r="117" ht="15.75" customHeight="1">
      <c r="A117" s="88">
        <v>114.0</v>
      </c>
      <c r="B117" s="22"/>
      <c r="C117" s="22" t="s">
        <v>3139</v>
      </c>
      <c r="D117" s="22" t="s">
        <v>3140</v>
      </c>
      <c r="E117" s="89">
        <v>6.475016154E9</v>
      </c>
      <c r="F117" s="24" t="s">
        <v>3141</v>
      </c>
      <c r="G117" s="93"/>
      <c r="H117" s="93"/>
      <c r="I117" s="94"/>
      <c r="J117" s="95"/>
      <c r="K117" s="95"/>
      <c r="L117" s="95"/>
      <c r="M117" s="95"/>
      <c r="N117" s="95"/>
    </row>
    <row r="118" ht="15.75" customHeight="1">
      <c r="A118" s="88">
        <v>115.0</v>
      </c>
      <c r="B118" s="22"/>
      <c r="C118" s="22" t="s">
        <v>1017</v>
      </c>
      <c r="D118" s="22" t="s">
        <v>1018</v>
      </c>
      <c r="E118" s="89">
        <v>2.04962791E9</v>
      </c>
      <c r="F118" s="24" t="s">
        <v>3142</v>
      </c>
      <c r="G118" s="96"/>
      <c r="H118" s="96"/>
      <c r="I118" s="97"/>
      <c r="J118" s="98"/>
      <c r="K118" s="98"/>
      <c r="L118" s="98"/>
      <c r="M118" s="98"/>
      <c r="N118" s="98"/>
    </row>
    <row r="119" ht="15.75" customHeight="1">
      <c r="A119" s="88">
        <v>116.0</v>
      </c>
      <c r="B119" s="22"/>
      <c r="C119" s="22" t="s">
        <v>1020</v>
      </c>
      <c r="D119" s="22" t="s">
        <v>1021</v>
      </c>
      <c r="E119" s="89">
        <v>6.477105922E9</v>
      </c>
      <c r="F119" s="24" t="s">
        <v>3143</v>
      </c>
      <c r="G119" s="93"/>
      <c r="H119" s="93"/>
      <c r="I119" s="94"/>
      <c r="J119" s="95"/>
      <c r="K119" s="95"/>
      <c r="L119" s="95"/>
      <c r="M119" s="95"/>
      <c r="N119" s="95"/>
    </row>
    <row r="120" ht="15.75" customHeight="1">
      <c r="A120" s="88">
        <v>117.0</v>
      </c>
      <c r="B120" s="22"/>
      <c r="C120" s="22" t="s">
        <v>1023</v>
      </c>
      <c r="D120" s="22" t="s">
        <v>1024</v>
      </c>
      <c r="E120" s="89">
        <v>4.166173215E9</v>
      </c>
      <c r="F120" s="24" t="s">
        <v>3144</v>
      </c>
      <c r="G120" s="96"/>
      <c r="H120" s="96"/>
      <c r="I120" s="97"/>
      <c r="J120" s="98"/>
      <c r="K120" s="98"/>
      <c r="L120" s="98"/>
      <c r="M120" s="98"/>
      <c r="N120" s="98"/>
    </row>
    <row r="121" ht="15.75" customHeight="1">
      <c r="A121" s="88">
        <v>118.0</v>
      </c>
      <c r="B121" s="22"/>
      <c r="C121" s="22" t="s">
        <v>1026</v>
      </c>
      <c r="D121" s="22" t="s">
        <v>1027</v>
      </c>
      <c r="E121" s="89">
        <v>6.473814409E9</v>
      </c>
      <c r="F121" s="24" t="s">
        <v>1757</v>
      </c>
      <c r="G121" s="93"/>
      <c r="H121" s="93"/>
      <c r="I121" s="94"/>
      <c r="J121" s="95"/>
      <c r="K121" s="95"/>
      <c r="L121" s="95"/>
      <c r="M121" s="95"/>
      <c r="N121" s="95"/>
    </row>
    <row r="122" ht="15.75" customHeight="1">
      <c r="A122" s="88">
        <v>119.0</v>
      </c>
      <c r="B122" s="22"/>
      <c r="C122" s="22" t="s">
        <v>1029</v>
      </c>
      <c r="D122" s="22" t="s">
        <v>1030</v>
      </c>
      <c r="E122" s="89">
        <v>6.478872549E9</v>
      </c>
      <c r="F122" s="24" t="s">
        <v>3145</v>
      </c>
      <c r="G122" s="96"/>
      <c r="H122" s="96"/>
      <c r="I122" s="97"/>
      <c r="J122" s="98"/>
      <c r="K122" s="98"/>
      <c r="L122" s="98"/>
      <c r="M122" s="98"/>
      <c r="N122" s="98"/>
    </row>
    <row r="123" ht="15.75" customHeight="1">
      <c r="A123" s="88">
        <v>120.0</v>
      </c>
      <c r="B123" s="22"/>
      <c r="C123" s="22" t="s">
        <v>1033</v>
      </c>
      <c r="D123" s="22" t="s">
        <v>1034</v>
      </c>
      <c r="E123" s="89">
        <v>4.163038523E9</v>
      </c>
      <c r="F123" s="24" t="s">
        <v>3146</v>
      </c>
      <c r="G123" s="93"/>
      <c r="H123" s="93"/>
      <c r="I123" s="94"/>
      <c r="J123" s="95"/>
      <c r="K123" s="95"/>
      <c r="L123" s="95"/>
      <c r="M123" s="95"/>
      <c r="N123" s="95"/>
    </row>
    <row r="124" ht="15.75" customHeight="1">
      <c r="A124" s="88">
        <v>121.0</v>
      </c>
      <c r="B124" s="22"/>
      <c r="C124" s="22" t="s">
        <v>3147</v>
      </c>
      <c r="D124" s="22" t="s">
        <v>1038</v>
      </c>
      <c r="E124" s="89">
        <v>6.474474672E9</v>
      </c>
      <c r="F124" s="24" t="s">
        <v>3148</v>
      </c>
      <c r="G124" s="96"/>
      <c r="H124" s="96"/>
      <c r="I124" s="97"/>
      <c r="J124" s="98"/>
      <c r="K124" s="98"/>
      <c r="L124" s="98"/>
      <c r="M124" s="98"/>
      <c r="N124" s="98"/>
    </row>
    <row r="125" ht="15.75" customHeight="1">
      <c r="A125" s="88">
        <v>122.0</v>
      </c>
      <c r="B125" s="22"/>
      <c r="C125" s="22" t="s">
        <v>1040</v>
      </c>
      <c r="D125" s="22" t="s">
        <v>1041</v>
      </c>
      <c r="E125" s="89">
        <v>6.473097128E9</v>
      </c>
      <c r="F125" s="24" t="s">
        <v>3149</v>
      </c>
      <c r="G125" s="93"/>
      <c r="H125" s="93"/>
      <c r="I125" s="94"/>
      <c r="J125" s="95"/>
      <c r="K125" s="95"/>
      <c r="L125" s="95"/>
      <c r="M125" s="95"/>
      <c r="N125" s="95"/>
    </row>
    <row r="126" ht="15.75" customHeight="1">
      <c r="A126" s="88">
        <v>123.0</v>
      </c>
      <c r="B126" s="22"/>
      <c r="C126" s="22" t="s">
        <v>1043</v>
      </c>
      <c r="D126" s="22" t="s">
        <v>624</v>
      </c>
      <c r="E126" s="89">
        <v>4.168254536E9</v>
      </c>
      <c r="F126" s="24" t="s">
        <v>3150</v>
      </c>
      <c r="G126" s="96"/>
      <c r="H126" s="96"/>
      <c r="I126" s="97"/>
      <c r="J126" s="98"/>
      <c r="K126" s="98"/>
      <c r="L126" s="98"/>
      <c r="M126" s="98"/>
      <c r="N126" s="98"/>
    </row>
    <row r="127" ht="15.75" customHeight="1">
      <c r="A127" s="88">
        <v>124.0</v>
      </c>
      <c r="B127" s="22"/>
      <c r="C127" s="22" t="s">
        <v>1046</v>
      </c>
      <c r="D127" s="22" t="s">
        <v>1047</v>
      </c>
      <c r="E127" s="89">
        <v>6.479755115E9</v>
      </c>
      <c r="F127" s="24" t="s">
        <v>3151</v>
      </c>
      <c r="G127" s="93"/>
      <c r="H127" s="93"/>
      <c r="I127" s="94"/>
      <c r="J127" s="95"/>
      <c r="K127" s="95"/>
      <c r="L127" s="95"/>
      <c r="M127" s="95"/>
      <c r="N127" s="95"/>
    </row>
    <row r="128" ht="15.75" customHeight="1">
      <c r="A128" s="88">
        <v>125.0</v>
      </c>
      <c r="B128" s="22"/>
      <c r="C128" s="22" t="s">
        <v>3152</v>
      </c>
      <c r="D128" s="22" t="s">
        <v>1050</v>
      </c>
      <c r="E128" s="89">
        <v>6.478189608E9</v>
      </c>
      <c r="F128" s="24" t="s">
        <v>3153</v>
      </c>
      <c r="G128" s="96"/>
      <c r="H128" s="96"/>
      <c r="I128" s="97"/>
      <c r="J128" s="98"/>
      <c r="K128" s="98"/>
      <c r="L128" s="98"/>
      <c r="M128" s="98"/>
      <c r="N128" s="98"/>
    </row>
    <row r="129" ht="15.75" customHeight="1">
      <c r="A129" s="88">
        <v>126.0</v>
      </c>
      <c r="B129" s="22"/>
      <c r="C129" s="22" t="s">
        <v>3154</v>
      </c>
      <c r="D129" s="22" t="s">
        <v>3155</v>
      </c>
      <c r="E129" s="89">
        <v>6.473092452E9</v>
      </c>
      <c r="F129" s="24" t="s">
        <v>3156</v>
      </c>
      <c r="G129" s="93"/>
      <c r="H129" s="93"/>
      <c r="I129" s="94"/>
      <c r="J129" s="95"/>
      <c r="K129" s="95"/>
      <c r="L129" s="95"/>
      <c r="M129" s="95"/>
      <c r="N129" s="95"/>
    </row>
    <row r="130" ht="15.75" customHeight="1">
      <c r="A130" s="88">
        <v>127.0</v>
      </c>
      <c r="B130" s="22"/>
      <c r="C130" s="22" t="s">
        <v>1055</v>
      </c>
      <c r="D130" s="22" t="s">
        <v>306</v>
      </c>
      <c r="E130" s="89">
        <v>6.479232085E9</v>
      </c>
      <c r="F130" s="24" t="s">
        <v>1752</v>
      </c>
      <c r="G130" s="96"/>
      <c r="H130" s="96"/>
      <c r="I130" s="97"/>
      <c r="J130" s="98"/>
      <c r="K130" s="98"/>
      <c r="L130" s="98"/>
      <c r="M130" s="98"/>
      <c r="N130" s="98"/>
    </row>
    <row r="131" ht="15.75" customHeight="1">
      <c r="A131" s="88">
        <v>128.0</v>
      </c>
      <c r="B131" s="22"/>
      <c r="C131" s="22" t="s">
        <v>1058</v>
      </c>
      <c r="D131" s="22" t="s">
        <v>4</v>
      </c>
      <c r="E131" s="89">
        <v>4.379224109E9</v>
      </c>
      <c r="F131" s="24" t="s">
        <v>3157</v>
      </c>
      <c r="G131" s="93"/>
      <c r="H131" s="93"/>
      <c r="I131" s="94"/>
      <c r="J131" s="95"/>
      <c r="K131" s="95"/>
      <c r="L131" s="95"/>
      <c r="M131" s="95"/>
      <c r="N131" s="95"/>
    </row>
    <row r="132" ht="15.75" customHeight="1">
      <c r="A132" s="88">
        <v>129.0</v>
      </c>
      <c r="B132" s="22"/>
      <c r="C132" s="22" t="s">
        <v>1060</v>
      </c>
      <c r="D132" s="22" t="s">
        <v>1061</v>
      </c>
      <c r="E132" s="89">
        <v>4.376799088E9</v>
      </c>
      <c r="F132" s="24" t="s">
        <v>3158</v>
      </c>
      <c r="G132" s="96"/>
      <c r="H132" s="96"/>
      <c r="I132" s="97"/>
      <c r="J132" s="98"/>
      <c r="K132" s="98"/>
      <c r="L132" s="98"/>
      <c r="M132" s="98"/>
      <c r="N132" s="98"/>
    </row>
    <row r="133" ht="15.75" customHeight="1">
      <c r="A133" s="88">
        <v>130.0</v>
      </c>
      <c r="B133" s="22"/>
      <c r="C133" s="22" t="s">
        <v>3159</v>
      </c>
      <c r="D133" s="22" t="s">
        <v>3160</v>
      </c>
      <c r="E133" s="89">
        <v>2.894407382E9</v>
      </c>
      <c r="F133" s="24" t="s">
        <v>3161</v>
      </c>
      <c r="G133" s="93"/>
      <c r="H133" s="93"/>
      <c r="I133" s="94"/>
      <c r="J133" s="95"/>
      <c r="K133" s="95"/>
      <c r="L133" s="95"/>
      <c r="M133" s="95"/>
      <c r="N133" s="95"/>
    </row>
    <row r="134" ht="15.75" customHeight="1">
      <c r="A134" s="88">
        <v>131.0</v>
      </c>
      <c r="B134" s="22"/>
      <c r="C134" s="22" t="s">
        <v>3162</v>
      </c>
      <c r="D134" s="22" t="s">
        <v>1948</v>
      </c>
      <c r="E134" s="89">
        <v>9.054300444E9</v>
      </c>
      <c r="F134" s="24" t="s">
        <v>3163</v>
      </c>
      <c r="G134" s="96"/>
      <c r="H134" s="96"/>
      <c r="I134" s="97"/>
      <c r="J134" s="98"/>
      <c r="K134" s="98"/>
      <c r="L134" s="98"/>
      <c r="M134" s="98"/>
      <c r="N134" s="98"/>
    </row>
    <row r="135" ht="15.75" customHeight="1">
      <c r="A135" s="88">
        <v>132.0</v>
      </c>
      <c r="B135" s="22"/>
      <c r="C135" s="22" t="s">
        <v>1069</v>
      </c>
      <c r="D135" s="22" t="s">
        <v>1070</v>
      </c>
      <c r="E135" s="89">
        <v>4.16919397E9</v>
      </c>
      <c r="F135" s="24" t="s">
        <v>3164</v>
      </c>
      <c r="G135" s="93"/>
      <c r="H135" s="93"/>
      <c r="I135" s="94"/>
      <c r="J135" s="95"/>
      <c r="K135" s="95"/>
      <c r="L135" s="95"/>
      <c r="M135" s="95"/>
      <c r="N135" s="95"/>
    </row>
    <row r="136" ht="15.75" customHeight="1">
      <c r="A136" s="88">
        <v>133.0</v>
      </c>
      <c r="B136" s="22"/>
      <c r="C136" s="22" t="s">
        <v>1072</v>
      </c>
      <c r="D136" s="22" t="s">
        <v>1073</v>
      </c>
      <c r="E136" s="89">
        <v>4.166668334E9</v>
      </c>
      <c r="F136" s="24" t="s">
        <v>3165</v>
      </c>
      <c r="G136" s="96"/>
      <c r="H136" s="96"/>
      <c r="I136" s="97"/>
      <c r="J136" s="98"/>
      <c r="K136" s="98"/>
      <c r="L136" s="98"/>
      <c r="M136" s="98"/>
      <c r="N136" s="98"/>
    </row>
    <row r="137" ht="15.75" customHeight="1">
      <c r="A137" s="88">
        <v>134.0</v>
      </c>
      <c r="B137" s="22"/>
      <c r="C137" s="22" t="s">
        <v>1075</v>
      </c>
      <c r="D137" s="22" t="s">
        <v>1076</v>
      </c>
      <c r="E137" s="89">
        <v>6.474466476E9</v>
      </c>
      <c r="F137" s="24" t="s">
        <v>3166</v>
      </c>
      <c r="G137" s="93"/>
      <c r="H137" s="93"/>
      <c r="I137" s="94"/>
      <c r="J137" s="95"/>
      <c r="K137" s="95"/>
      <c r="L137" s="95"/>
      <c r="M137" s="95"/>
      <c r="N137" s="95"/>
    </row>
    <row r="138" ht="15.75" customHeight="1">
      <c r="A138" s="88">
        <v>135.0</v>
      </c>
      <c r="B138" s="22"/>
      <c r="C138" s="22" t="s">
        <v>1078</v>
      </c>
      <c r="D138" s="22" t="s">
        <v>1079</v>
      </c>
      <c r="E138" s="89">
        <v>6.476870231E9</v>
      </c>
      <c r="F138" s="24" t="s">
        <v>3167</v>
      </c>
      <c r="G138" s="96"/>
      <c r="H138" s="96"/>
      <c r="I138" s="97"/>
      <c r="J138" s="98"/>
      <c r="K138" s="98"/>
      <c r="L138" s="98"/>
      <c r="M138" s="98"/>
      <c r="N138" s="98"/>
    </row>
    <row r="139" ht="15.75" customHeight="1">
      <c r="A139" s="88">
        <v>136.0</v>
      </c>
      <c r="B139" s="22"/>
      <c r="C139" s="22" t="s">
        <v>1081</v>
      </c>
      <c r="D139" s="22" t="s">
        <v>1082</v>
      </c>
      <c r="E139" s="89">
        <v>6.474740716E9</v>
      </c>
      <c r="F139" s="24" t="s">
        <v>3168</v>
      </c>
      <c r="G139" s="93"/>
      <c r="H139" s="93"/>
      <c r="I139" s="94"/>
      <c r="J139" s="95"/>
      <c r="K139" s="95"/>
      <c r="L139" s="95"/>
      <c r="M139" s="95"/>
      <c r="N139" s="95"/>
    </row>
    <row r="140" ht="15.75" customHeight="1">
      <c r="A140" s="88">
        <v>137.0</v>
      </c>
      <c r="B140" s="22"/>
      <c r="C140" s="22" t="s">
        <v>1084</v>
      </c>
      <c r="D140" s="22" t="s">
        <v>3169</v>
      </c>
      <c r="E140" s="89">
        <v>6.478314876E9</v>
      </c>
      <c r="F140" s="24" t="s">
        <v>3170</v>
      </c>
      <c r="G140" s="96"/>
      <c r="H140" s="96"/>
      <c r="I140" s="97"/>
      <c r="J140" s="98"/>
      <c r="K140" s="98"/>
      <c r="L140" s="98"/>
      <c r="M140" s="98"/>
      <c r="N140" s="98"/>
    </row>
    <row r="141" ht="15.75" customHeight="1">
      <c r="A141" s="88">
        <v>138.0</v>
      </c>
      <c r="B141" s="22"/>
      <c r="C141" s="22" t="s">
        <v>1088</v>
      </c>
      <c r="D141" s="22" t="s">
        <v>1089</v>
      </c>
      <c r="E141" s="89">
        <v>6.479063773E9</v>
      </c>
      <c r="F141" s="24" t="s">
        <v>3171</v>
      </c>
      <c r="G141" s="93"/>
      <c r="H141" s="93"/>
      <c r="I141" s="94"/>
      <c r="J141" s="95"/>
      <c r="K141" s="95"/>
      <c r="L141" s="95"/>
      <c r="M141" s="95"/>
      <c r="N141" s="95"/>
    </row>
    <row r="142" ht="15.75" customHeight="1">
      <c r="A142" s="88">
        <v>139.0</v>
      </c>
      <c r="B142" s="22"/>
      <c r="C142" s="22" t="s">
        <v>1091</v>
      </c>
      <c r="D142" s="22" t="s">
        <v>1092</v>
      </c>
      <c r="E142" s="89">
        <v>2.899284644E9</v>
      </c>
      <c r="F142" s="24" t="s">
        <v>3172</v>
      </c>
      <c r="G142" s="96"/>
      <c r="H142" s="96"/>
      <c r="I142" s="97"/>
      <c r="J142" s="98"/>
      <c r="K142" s="98"/>
      <c r="L142" s="98"/>
      <c r="M142" s="98"/>
      <c r="N142" s="98"/>
    </row>
    <row r="143" ht="15.75" customHeight="1">
      <c r="A143" s="88">
        <v>140.0</v>
      </c>
      <c r="B143" s="22"/>
      <c r="C143" s="22" t="s">
        <v>1094</v>
      </c>
      <c r="D143" s="22" t="s">
        <v>1095</v>
      </c>
      <c r="E143" s="89">
        <v>6.478221772E9</v>
      </c>
      <c r="F143" s="24" t="s">
        <v>3173</v>
      </c>
      <c r="G143" s="93"/>
      <c r="H143" s="93"/>
      <c r="I143" s="94"/>
      <c r="J143" s="95"/>
      <c r="K143" s="95"/>
      <c r="L143" s="95"/>
      <c r="M143" s="95"/>
      <c r="N143" s="95"/>
    </row>
    <row r="144" ht="15.75" customHeight="1">
      <c r="A144" s="88">
        <v>141.0</v>
      </c>
      <c r="B144" s="22"/>
      <c r="C144" s="22" t="s">
        <v>1097</v>
      </c>
      <c r="D144" s="22" t="s">
        <v>1098</v>
      </c>
      <c r="E144" s="89">
        <v>2.377899895E9</v>
      </c>
      <c r="F144" s="24" t="s">
        <v>3174</v>
      </c>
      <c r="G144" s="96"/>
      <c r="H144" s="96"/>
      <c r="I144" s="97"/>
      <c r="J144" s="98"/>
      <c r="K144" s="98"/>
      <c r="L144" s="98"/>
      <c r="M144" s="98"/>
      <c r="N144" s="98"/>
    </row>
    <row r="145" ht="15.75" customHeight="1">
      <c r="A145" s="88">
        <v>142.0</v>
      </c>
      <c r="B145" s="22"/>
      <c r="C145" s="22" t="s">
        <v>1100</v>
      </c>
      <c r="D145" s="22" t="s">
        <v>1101</v>
      </c>
      <c r="E145" s="89">
        <v>4.372558602E9</v>
      </c>
      <c r="F145" s="24" t="s">
        <v>3175</v>
      </c>
      <c r="G145" s="93"/>
      <c r="H145" s="93"/>
      <c r="I145" s="94"/>
      <c r="J145" s="95"/>
      <c r="K145" s="95"/>
      <c r="L145" s="95"/>
      <c r="M145" s="95"/>
      <c r="N145" s="95"/>
    </row>
    <row r="146" ht="15.75" customHeight="1">
      <c r="A146" s="88">
        <v>143.0</v>
      </c>
      <c r="B146" s="22"/>
      <c r="C146" s="22" t="s">
        <v>1104</v>
      </c>
      <c r="D146" s="22" t="s">
        <v>1105</v>
      </c>
      <c r="E146" s="89">
        <v>4.37995022E9</v>
      </c>
      <c r="F146" s="24" t="s">
        <v>3176</v>
      </c>
      <c r="G146" s="96"/>
      <c r="H146" s="96"/>
      <c r="I146" s="97"/>
      <c r="J146" s="98"/>
      <c r="K146" s="98"/>
      <c r="L146" s="98"/>
      <c r="M146" s="98"/>
      <c r="N146" s="98"/>
    </row>
    <row r="147" ht="15.75" customHeight="1">
      <c r="A147" s="88">
        <v>144.0</v>
      </c>
      <c r="B147" s="22"/>
      <c r="C147" s="22" t="s">
        <v>1108</v>
      </c>
      <c r="D147" s="22" t="s">
        <v>1109</v>
      </c>
      <c r="E147" s="89">
        <v>4.373313296E9</v>
      </c>
      <c r="F147" s="24" t="s">
        <v>3177</v>
      </c>
      <c r="G147" s="93"/>
      <c r="H147" s="93"/>
      <c r="I147" s="94"/>
      <c r="J147" s="95"/>
      <c r="K147" s="95"/>
      <c r="L147" s="95"/>
      <c r="M147" s="95"/>
      <c r="N147" s="95"/>
    </row>
    <row r="148" ht="15.75" customHeight="1">
      <c r="A148" s="88">
        <v>145.0</v>
      </c>
      <c r="B148" s="22"/>
      <c r="C148" s="22" t="s">
        <v>1111</v>
      </c>
      <c r="D148" s="22" t="s">
        <v>167</v>
      </c>
      <c r="E148" s="89">
        <v>4.168260786E9</v>
      </c>
      <c r="F148" s="24" t="s">
        <v>3178</v>
      </c>
      <c r="G148" s="96"/>
      <c r="H148" s="96"/>
      <c r="I148" s="97"/>
      <c r="J148" s="98"/>
      <c r="K148" s="98"/>
      <c r="L148" s="98"/>
      <c r="M148" s="98"/>
      <c r="N148" s="98"/>
    </row>
    <row r="149" ht="15.75" customHeight="1">
      <c r="A149" s="88">
        <v>146.0</v>
      </c>
      <c r="B149" s="22"/>
      <c r="C149" s="22" t="s">
        <v>3179</v>
      </c>
      <c r="D149" s="22" t="s">
        <v>3180</v>
      </c>
      <c r="E149" s="89">
        <v>6.475535014E9</v>
      </c>
      <c r="F149" s="24" t="s">
        <v>3181</v>
      </c>
      <c r="G149" s="93"/>
      <c r="H149" s="93"/>
      <c r="I149" s="94"/>
      <c r="J149" s="95"/>
      <c r="K149" s="95"/>
      <c r="L149" s="95"/>
      <c r="M149" s="95"/>
      <c r="N149" s="95"/>
    </row>
    <row r="150" ht="15.75" customHeight="1">
      <c r="A150" s="88">
        <v>147.0</v>
      </c>
      <c r="B150" s="22"/>
      <c r="C150" s="22" t="s">
        <v>1119</v>
      </c>
      <c r="D150" s="22" t="s">
        <v>3182</v>
      </c>
      <c r="E150" s="89">
        <v>6.479855956E9</v>
      </c>
      <c r="F150" s="24" t="s">
        <v>3183</v>
      </c>
      <c r="G150" s="96"/>
      <c r="H150" s="96"/>
      <c r="I150" s="97"/>
      <c r="J150" s="98"/>
      <c r="K150" s="98"/>
      <c r="L150" s="98"/>
      <c r="M150" s="98"/>
      <c r="N150" s="98"/>
    </row>
    <row r="151" ht="15.75" customHeight="1">
      <c r="A151" s="88">
        <v>148.0</v>
      </c>
      <c r="B151" s="22"/>
      <c r="C151" s="22" t="s">
        <v>1122</v>
      </c>
      <c r="D151" s="22" t="s">
        <v>1123</v>
      </c>
      <c r="E151" s="89">
        <v>4.166609838E9</v>
      </c>
      <c r="F151" s="24" t="s">
        <v>3184</v>
      </c>
      <c r="G151" s="93"/>
      <c r="H151" s="93"/>
      <c r="I151" s="94"/>
      <c r="J151" s="95"/>
      <c r="K151" s="95"/>
      <c r="L151" s="95"/>
      <c r="M151" s="95"/>
      <c r="N151" s="95"/>
    </row>
    <row r="152" ht="15.75" customHeight="1">
      <c r="A152" s="88">
        <v>149.0</v>
      </c>
      <c r="B152" s="22"/>
      <c r="C152" s="22" t="s">
        <v>116</v>
      </c>
      <c r="D152" s="22" t="s">
        <v>1125</v>
      </c>
      <c r="E152" s="89">
        <v>9.023151939E9</v>
      </c>
      <c r="F152" s="24" t="s">
        <v>3185</v>
      </c>
      <c r="G152" s="96"/>
      <c r="H152" s="96"/>
      <c r="I152" s="97"/>
      <c r="J152" s="98"/>
      <c r="K152" s="98"/>
      <c r="L152" s="98"/>
      <c r="M152" s="98"/>
      <c r="N152" s="98"/>
    </row>
    <row r="153" ht="15.75" customHeight="1">
      <c r="A153" s="88">
        <v>150.0</v>
      </c>
      <c r="B153" s="22"/>
      <c r="C153" s="22" t="s">
        <v>1127</v>
      </c>
      <c r="D153" s="22" t="s">
        <v>3186</v>
      </c>
      <c r="E153" s="89">
        <v>6.479755143E9</v>
      </c>
      <c r="F153" s="24" t="s">
        <v>3187</v>
      </c>
      <c r="G153" s="93"/>
      <c r="H153" s="93"/>
      <c r="I153" s="94"/>
      <c r="J153" s="95"/>
      <c r="K153" s="95"/>
      <c r="L153" s="95"/>
      <c r="M153" s="95"/>
      <c r="N153" s="95"/>
    </row>
    <row r="154" ht="15.75" customHeight="1">
      <c r="A154" s="88">
        <v>151.0</v>
      </c>
      <c r="B154" s="22"/>
      <c r="C154" s="22" t="s">
        <v>1130</v>
      </c>
      <c r="D154" s="22" t="s">
        <v>1131</v>
      </c>
      <c r="E154" s="89">
        <v>9.05449561E9</v>
      </c>
      <c r="F154" s="24" t="s">
        <v>3188</v>
      </c>
      <c r="G154" s="96"/>
      <c r="H154" s="96"/>
      <c r="I154" s="97"/>
      <c r="J154" s="98"/>
      <c r="K154" s="98"/>
      <c r="L154" s="98"/>
      <c r="M154" s="98"/>
      <c r="N154" s="98"/>
    </row>
    <row r="155" ht="15.75" customHeight="1">
      <c r="A155" s="88">
        <v>152.0</v>
      </c>
      <c r="B155" s="22"/>
      <c r="C155" s="22" t="s">
        <v>2853</v>
      </c>
      <c r="D155" s="22" t="s">
        <v>3189</v>
      </c>
      <c r="E155" s="89">
        <v>6.476743949E9</v>
      </c>
      <c r="F155" s="24" t="s">
        <v>3190</v>
      </c>
      <c r="G155" s="93"/>
      <c r="H155" s="93"/>
      <c r="I155" s="94"/>
      <c r="J155" s="95"/>
      <c r="K155" s="95"/>
      <c r="L155" s="95"/>
      <c r="M155" s="95"/>
      <c r="N155" s="95"/>
    </row>
    <row r="156" ht="15.75" customHeight="1">
      <c r="A156" s="88">
        <v>153.0</v>
      </c>
      <c r="B156" s="22"/>
      <c r="C156" s="22" t="s">
        <v>1136</v>
      </c>
      <c r="D156" s="22" t="s">
        <v>1137</v>
      </c>
      <c r="E156" s="89">
        <v>6.478886703E9</v>
      </c>
      <c r="F156" s="24" t="s">
        <v>3191</v>
      </c>
      <c r="G156" s="96"/>
      <c r="H156" s="96"/>
      <c r="I156" s="97"/>
      <c r="J156" s="98"/>
      <c r="K156" s="98"/>
      <c r="L156" s="98"/>
      <c r="M156" s="98"/>
      <c r="N156" s="98"/>
    </row>
    <row r="157" ht="15.75" customHeight="1">
      <c r="A157" s="88">
        <v>154.0</v>
      </c>
      <c r="B157" s="22"/>
      <c r="C157" s="22" t="s">
        <v>1139</v>
      </c>
      <c r="D157" s="22" t="s">
        <v>1140</v>
      </c>
      <c r="E157" s="89">
        <v>4.163125083E9</v>
      </c>
      <c r="F157" s="24" t="s">
        <v>3192</v>
      </c>
      <c r="G157" s="93"/>
      <c r="H157" s="93"/>
      <c r="I157" s="94"/>
      <c r="J157" s="95"/>
      <c r="K157" s="95"/>
      <c r="L157" s="95"/>
      <c r="M157" s="95"/>
      <c r="N157" s="95"/>
    </row>
    <row r="158" ht="15.75" customHeight="1">
      <c r="A158" s="88">
        <v>155.0</v>
      </c>
      <c r="B158" s="22"/>
      <c r="C158" s="22" t="s">
        <v>1037</v>
      </c>
      <c r="D158" s="22" t="s">
        <v>1038</v>
      </c>
      <c r="E158" s="89">
        <v>6.474474672E9</v>
      </c>
      <c r="F158" s="24" t="s">
        <v>3148</v>
      </c>
      <c r="G158" s="96"/>
      <c r="H158" s="96"/>
      <c r="I158" s="97"/>
      <c r="J158" s="98"/>
      <c r="K158" s="98"/>
      <c r="L158" s="98"/>
      <c r="M158" s="98"/>
      <c r="N158" s="98"/>
    </row>
    <row r="159" ht="15.75" customHeight="1">
      <c r="A159" s="88">
        <v>156.0</v>
      </c>
      <c r="B159" s="22"/>
      <c r="C159" s="22" t="s">
        <v>1142</v>
      </c>
      <c r="D159" s="22" t="s">
        <v>1143</v>
      </c>
      <c r="E159" s="89">
        <v>6.476578624E9</v>
      </c>
      <c r="F159" s="24" t="s">
        <v>3193</v>
      </c>
      <c r="G159" s="93"/>
      <c r="H159" s="93"/>
      <c r="I159" s="94"/>
      <c r="J159" s="95"/>
      <c r="K159" s="95"/>
      <c r="L159" s="95"/>
      <c r="M159" s="95"/>
      <c r="N159" s="95"/>
    </row>
    <row r="160" ht="15.75" customHeight="1">
      <c r="A160" s="88">
        <v>157.0</v>
      </c>
      <c r="B160" s="22"/>
      <c r="C160" s="22" t="s">
        <v>65</v>
      </c>
      <c r="D160" s="22" t="s">
        <v>66</v>
      </c>
      <c r="E160" s="89">
        <v>9.057818585E9</v>
      </c>
      <c r="F160" s="24" t="s">
        <v>3194</v>
      </c>
      <c r="G160" s="96"/>
      <c r="H160" s="96"/>
      <c r="I160" s="97"/>
      <c r="J160" s="98"/>
      <c r="K160" s="98"/>
      <c r="L160" s="98"/>
      <c r="M160" s="98"/>
      <c r="N160" s="98"/>
    </row>
    <row r="161" ht="15.75" customHeight="1">
      <c r="A161" s="88">
        <v>158.0</v>
      </c>
      <c r="B161" s="22"/>
      <c r="C161" s="22" t="s">
        <v>1150</v>
      </c>
      <c r="D161" s="22" t="s">
        <v>1151</v>
      </c>
      <c r="E161" s="89">
        <v>4.379794409E9</v>
      </c>
      <c r="F161" s="24" t="s">
        <v>3195</v>
      </c>
      <c r="G161" s="93"/>
      <c r="H161" s="93"/>
      <c r="I161" s="94"/>
      <c r="J161" s="95"/>
      <c r="K161" s="95"/>
      <c r="L161" s="95"/>
      <c r="M161" s="95"/>
      <c r="N161" s="95"/>
    </row>
    <row r="162" ht="15.75" customHeight="1">
      <c r="A162" s="88">
        <v>159.0</v>
      </c>
      <c r="B162" s="22"/>
      <c r="C162" s="22" t="s">
        <v>873</v>
      </c>
      <c r="D162" s="22" t="s">
        <v>1154</v>
      </c>
      <c r="E162" s="89">
        <v>6.477677158E9</v>
      </c>
      <c r="F162" s="24" t="s">
        <v>3196</v>
      </c>
      <c r="G162" s="96"/>
      <c r="H162" s="96"/>
      <c r="I162" s="97"/>
      <c r="J162" s="98"/>
      <c r="K162" s="98"/>
      <c r="L162" s="98"/>
      <c r="M162" s="98"/>
      <c r="N162" s="98"/>
    </row>
    <row r="163" ht="15.75" customHeight="1">
      <c r="A163" s="88">
        <v>160.0</v>
      </c>
      <c r="B163" s="22"/>
      <c r="C163" s="22" t="s">
        <v>1156</v>
      </c>
      <c r="D163" s="22" t="s">
        <v>3197</v>
      </c>
      <c r="E163" s="89">
        <v>5.548477856E9</v>
      </c>
      <c r="F163" s="24" t="s">
        <v>3198</v>
      </c>
      <c r="G163" s="93"/>
      <c r="H163" s="93"/>
      <c r="I163" s="94"/>
      <c r="J163" s="95"/>
      <c r="K163" s="95"/>
      <c r="L163" s="95"/>
      <c r="M163" s="95"/>
      <c r="N163" s="95"/>
    </row>
    <row r="164" ht="15.75" customHeight="1">
      <c r="A164" s="88">
        <v>161.0</v>
      </c>
      <c r="B164" s="22"/>
      <c r="C164" s="22" t="s">
        <v>1159</v>
      </c>
      <c r="D164" s="22" t="s">
        <v>1160</v>
      </c>
      <c r="E164" s="89">
        <v>2.26791672E9</v>
      </c>
      <c r="F164" s="24" t="s">
        <v>3199</v>
      </c>
      <c r="G164" s="96"/>
      <c r="H164" s="96"/>
      <c r="I164" s="97"/>
      <c r="J164" s="98"/>
      <c r="K164" s="98"/>
      <c r="L164" s="98"/>
      <c r="M164" s="98"/>
      <c r="N164" s="98"/>
    </row>
    <row r="165" ht="15.75" customHeight="1">
      <c r="A165" s="88">
        <v>162.0</v>
      </c>
      <c r="B165" s="22"/>
      <c r="C165" s="22" t="s">
        <v>1162</v>
      </c>
      <c r="D165" s="22" t="s">
        <v>1163</v>
      </c>
      <c r="E165" s="89">
        <v>6.479891162E9</v>
      </c>
      <c r="F165" s="24" t="s">
        <v>3200</v>
      </c>
      <c r="G165" s="93"/>
      <c r="H165" s="93"/>
      <c r="I165" s="94"/>
      <c r="J165" s="95"/>
      <c r="K165" s="95"/>
      <c r="L165" s="95"/>
      <c r="M165" s="95"/>
      <c r="N165" s="95"/>
    </row>
    <row r="166" ht="15.75" customHeight="1">
      <c r="A166" s="88">
        <v>163.0</v>
      </c>
      <c r="B166" s="22"/>
      <c r="C166" s="22" t="s">
        <v>3201</v>
      </c>
      <c r="D166" s="22" t="s">
        <v>1166</v>
      </c>
      <c r="E166" s="89">
        <v>6.47707706E9</v>
      </c>
      <c r="F166" s="24" t="s">
        <v>3202</v>
      </c>
      <c r="G166" s="96"/>
      <c r="H166" s="96"/>
      <c r="I166" s="97"/>
      <c r="J166" s="98"/>
      <c r="K166" s="98"/>
      <c r="L166" s="98"/>
      <c r="M166" s="98"/>
      <c r="N166" s="98"/>
    </row>
    <row r="167" ht="15.75" customHeight="1">
      <c r="A167" s="88">
        <v>164.0</v>
      </c>
      <c r="B167" s="22"/>
      <c r="C167" s="22" t="s">
        <v>1168</v>
      </c>
      <c r="D167" s="22" t="s">
        <v>1169</v>
      </c>
      <c r="E167" s="89">
        <v>4.372625656E9</v>
      </c>
      <c r="F167" s="24" t="s">
        <v>3203</v>
      </c>
      <c r="G167" s="93"/>
      <c r="H167" s="93"/>
      <c r="I167" s="94"/>
      <c r="J167" s="95"/>
      <c r="K167" s="95"/>
      <c r="L167" s="95"/>
      <c r="M167" s="95"/>
      <c r="N167" s="95"/>
    </row>
    <row r="168" ht="15.75" customHeight="1">
      <c r="A168" s="88">
        <v>165.0</v>
      </c>
      <c r="B168" s="22"/>
      <c r="C168" s="22" t="s">
        <v>1171</v>
      </c>
      <c r="D168" s="22" t="s">
        <v>1172</v>
      </c>
      <c r="E168" s="89">
        <v>4.166297653E9</v>
      </c>
      <c r="F168" s="24"/>
      <c r="G168" s="96"/>
      <c r="H168" s="96"/>
      <c r="I168" s="97"/>
      <c r="J168" s="98"/>
      <c r="K168" s="98"/>
      <c r="L168" s="98"/>
      <c r="M168" s="98"/>
      <c r="N168" s="98"/>
    </row>
    <row r="169" ht="15.75" customHeight="1">
      <c r="A169" s="88">
        <v>166.0</v>
      </c>
      <c r="B169" s="22"/>
      <c r="C169" s="22" t="s">
        <v>1173</v>
      </c>
      <c r="D169" s="22" t="s">
        <v>3</v>
      </c>
      <c r="E169" s="89">
        <v>6.476213213E9</v>
      </c>
      <c r="F169" s="24" t="s">
        <v>3204</v>
      </c>
      <c r="G169" s="93"/>
      <c r="H169" s="93"/>
      <c r="I169" s="94"/>
      <c r="J169" s="95"/>
      <c r="K169" s="95"/>
      <c r="L169" s="95"/>
      <c r="M169" s="95"/>
      <c r="N169" s="95"/>
    </row>
    <row r="170" ht="15.75" customHeight="1">
      <c r="A170" s="88">
        <v>167.0</v>
      </c>
      <c r="B170" s="22"/>
      <c r="C170" s="22" t="s">
        <v>3205</v>
      </c>
      <c r="D170" s="22" t="s">
        <v>1176</v>
      </c>
      <c r="E170" s="89">
        <v>6.472159296E9</v>
      </c>
      <c r="F170" s="24" t="s">
        <v>3206</v>
      </c>
      <c r="G170" s="96"/>
      <c r="H170" s="96"/>
      <c r="I170" s="97"/>
      <c r="J170" s="98"/>
      <c r="K170" s="98"/>
      <c r="L170" s="98"/>
      <c r="M170" s="98"/>
      <c r="N170" s="98"/>
    </row>
    <row r="171" ht="15.75" customHeight="1">
      <c r="A171" s="88">
        <v>168.0</v>
      </c>
      <c r="B171" s="22"/>
      <c r="C171" s="22" t="s">
        <v>1178</v>
      </c>
      <c r="D171" s="22" t="s">
        <v>29</v>
      </c>
      <c r="E171" s="89">
        <v>6.475101335E9</v>
      </c>
      <c r="F171" s="24" t="s">
        <v>3207</v>
      </c>
      <c r="G171" s="93"/>
      <c r="H171" s="93"/>
      <c r="I171" s="94"/>
      <c r="J171" s="95"/>
      <c r="K171" s="95"/>
      <c r="L171" s="95"/>
      <c r="M171" s="95"/>
      <c r="N171" s="95"/>
    </row>
    <row r="172" ht="15.75" customHeight="1">
      <c r="A172" s="88">
        <v>169.0</v>
      </c>
      <c r="B172" s="22"/>
      <c r="C172" s="22" t="s">
        <v>884</v>
      </c>
      <c r="D172" s="22" t="s">
        <v>3208</v>
      </c>
      <c r="E172" s="89">
        <v>4.167951993E9</v>
      </c>
      <c r="F172" s="24" t="s">
        <v>3209</v>
      </c>
      <c r="G172" s="96"/>
      <c r="H172" s="96"/>
      <c r="I172" s="97"/>
      <c r="J172" s="98"/>
      <c r="K172" s="98"/>
      <c r="L172" s="98"/>
      <c r="M172" s="98"/>
      <c r="N172" s="98"/>
    </row>
    <row r="173" ht="15.75" customHeight="1">
      <c r="A173" s="88">
        <v>170.0</v>
      </c>
      <c r="B173" s="22"/>
      <c r="C173" s="22" t="s">
        <v>1182</v>
      </c>
      <c r="D173" s="22" t="s">
        <v>1183</v>
      </c>
      <c r="E173" s="89">
        <v>4.167277403E9</v>
      </c>
      <c r="F173" s="24" t="s">
        <v>3210</v>
      </c>
      <c r="G173" s="93"/>
      <c r="H173" s="93"/>
      <c r="I173" s="94"/>
      <c r="J173" s="95"/>
      <c r="K173" s="95"/>
      <c r="L173" s="95"/>
      <c r="M173" s="95"/>
      <c r="N173" s="95"/>
    </row>
    <row r="174" ht="15.75" customHeight="1">
      <c r="A174" s="88">
        <v>171.0</v>
      </c>
      <c r="B174" s="22"/>
      <c r="C174" s="22" t="s">
        <v>1187</v>
      </c>
      <c r="D174" s="22" t="s">
        <v>1188</v>
      </c>
      <c r="E174" s="89">
        <v>6.479753839E9</v>
      </c>
      <c r="F174" s="24" t="s">
        <v>3211</v>
      </c>
      <c r="G174" s="96"/>
      <c r="H174" s="96"/>
      <c r="I174" s="97"/>
      <c r="J174" s="98"/>
      <c r="K174" s="98"/>
      <c r="L174" s="98"/>
      <c r="M174" s="98"/>
      <c r="N174" s="98"/>
    </row>
    <row r="175" ht="15.75" customHeight="1">
      <c r="A175" s="88">
        <v>172.0</v>
      </c>
      <c r="B175" s="22"/>
      <c r="C175" s="22" t="s">
        <v>1191</v>
      </c>
      <c r="D175" s="22" t="s">
        <v>1192</v>
      </c>
      <c r="E175" s="89">
        <v>4.168377034E9</v>
      </c>
      <c r="F175" s="24" t="s">
        <v>3212</v>
      </c>
      <c r="G175" s="93"/>
      <c r="H175" s="93"/>
      <c r="I175" s="94"/>
      <c r="J175" s="95"/>
      <c r="K175" s="95"/>
      <c r="L175" s="95"/>
      <c r="M175" s="95"/>
      <c r="N175" s="95"/>
    </row>
    <row r="176" ht="15.75" customHeight="1">
      <c r="A176" s="88">
        <v>173.0</v>
      </c>
      <c r="B176" s="22"/>
      <c r="C176" s="22" t="s">
        <v>3213</v>
      </c>
      <c r="D176" s="22" t="s">
        <v>3214</v>
      </c>
      <c r="E176" s="89">
        <v>4.169304608E9</v>
      </c>
      <c r="F176" s="24" t="s">
        <v>3215</v>
      </c>
      <c r="G176" s="96"/>
      <c r="H176" s="96"/>
      <c r="I176" s="97"/>
      <c r="J176" s="98"/>
      <c r="K176" s="98"/>
      <c r="L176" s="98"/>
      <c r="M176" s="98"/>
      <c r="N176" s="98"/>
    </row>
    <row r="177" ht="15.75" customHeight="1">
      <c r="A177" s="88">
        <v>174.0</v>
      </c>
      <c r="B177" s="22"/>
      <c r="C177" s="22" t="s">
        <v>1197</v>
      </c>
      <c r="D177" s="22" t="s">
        <v>1198</v>
      </c>
      <c r="E177" s="89">
        <v>5.193593718E9</v>
      </c>
      <c r="F177" s="24" t="s">
        <v>3216</v>
      </c>
      <c r="G177" s="93"/>
      <c r="H177" s="93"/>
      <c r="I177" s="94"/>
      <c r="J177" s="95"/>
      <c r="K177" s="95"/>
      <c r="L177" s="95"/>
      <c r="M177" s="95"/>
      <c r="N177" s="95"/>
    </row>
    <row r="178" ht="15.75" customHeight="1">
      <c r="A178" s="88">
        <v>175.0</v>
      </c>
      <c r="B178" s="22"/>
      <c r="C178" s="22" t="s">
        <v>1999</v>
      </c>
      <c r="D178" s="22" t="s">
        <v>3217</v>
      </c>
      <c r="E178" s="89">
        <v>6.478680995E9</v>
      </c>
      <c r="F178" s="24" t="s">
        <v>3218</v>
      </c>
      <c r="G178" s="96"/>
      <c r="H178" s="96"/>
      <c r="I178" s="97"/>
      <c r="J178" s="98"/>
      <c r="K178" s="98"/>
      <c r="L178" s="98"/>
      <c r="M178" s="98"/>
      <c r="N178" s="98"/>
    </row>
    <row r="179" ht="15.75" customHeight="1">
      <c r="A179" s="88">
        <v>176.0</v>
      </c>
      <c r="B179" s="22"/>
      <c r="C179" s="22" t="s">
        <v>1203</v>
      </c>
      <c r="D179" s="22" t="s">
        <v>1204</v>
      </c>
      <c r="E179" s="89">
        <v>4.379716561E9</v>
      </c>
      <c r="F179" s="24" t="s">
        <v>3219</v>
      </c>
      <c r="G179" s="93"/>
      <c r="H179" s="93"/>
      <c r="I179" s="94"/>
      <c r="J179" s="95"/>
      <c r="K179" s="95"/>
      <c r="L179" s="95"/>
      <c r="M179" s="95"/>
      <c r="N179" s="95"/>
    </row>
    <row r="180" ht="15.75" customHeight="1">
      <c r="A180" s="88">
        <v>177.0</v>
      </c>
      <c r="B180" s="22"/>
      <c r="C180" s="22" t="s">
        <v>1206</v>
      </c>
      <c r="D180" s="22" t="s">
        <v>1207</v>
      </c>
      <c r="E180" s="89">
        <v>6.475315687E9</v>
      </c>
      <c r="F180" s="24" t="s">
        <v>3220</v>
      </c>
      <c r="G180" s="96"/>
      <c r="H180" s="96"/>
      <c r="I180" s="97"/>
      <c r="J180" s="98"/>
      <c r="K180" s="98"/>
      <c r="L180" s="98"/>
      <c r="M180" s="98"/>
      <c r="N180" s="98"/>
    </row>
    <row r="181" ht="15.75" customHeight="1">
      <c r="A181" s="88">
        <v>178.0</v>
      </c>
      <c r="B181" s="22"/>
      <c r="C181" s="22" t="s">
        <v>1209</v>
      </c>
      <c r="D181" s="22" t="s">
        <v>1210</v>
      </c>
      <c r="E181" s="89">
        <v>4.379297529E9</v>
      </c>
      <c r="F181" s="24" t="s">
        <v>3221</v>
      </c>
      <c r="G181" s="93"/>
      <c r="H181" s="93"/>
      <c r="I181" s="94"/>
      <c r="J181" s="95"/>
      <c r="K181" s="95"/>
      <c r="L181" s="95"/>
      <c r="M181" s="95"/>
      <c r="N181" s="95"/>
    </row>
    <row r="182" ht="15.75" customHeight="1">
      <c r="A182" s="88">
        <v>179.0</v>
      </c>
      <c r="B182" s="22"/>
      <c r="C182" s="22" t="s">
        <v>1197</v>
      </c>
      <c r="D182" s="22" t="s">
        <v>1213</v>
      </c>
      <c r="E182" s="89">
        <v>7.053078229E9</v>
      </c>
      <c r="F182" s="24" t="s">
        <v>3222</v>
      </c>
      <c r="G182" s="96"/>
      <c r="H182" s="96"/>
      <c r="I182" s="97"/>
      <c r="J182" s="98"/>
      <c r="K182" s="98"/>
      <c r="L182" s="98"/>
      <c r="M182" s="98"/>
      <c r="N182" s="98"/>
    </row>
    <row r="183" ht="15.75" customHeight="1">
      <c r="A183" s="88">
        <v>180.0</v>
      </c>
      <c r="B183" s="22"/>
      <c r="C183" s="22" t="s">
        <v>1216</v>
      </c>
      <c r="D183" s="22" t="s">
        <v>1217</v>
      </c>
      <c r="E183" s="89">
        <v>2.894042321E9</v>
      </c>
      <c r="F183" s="24" t="s">
        <v>3223</v>
      </c>
      <c r="G183" s="93"/>
      <c r="H183" s="93"/>
      <c r="I183" s="94"/>
      <c r="J183" s="95"/>
      <c r="K183" s="95"/>
      <c r="L183" s="95"/>
      <c r="M183" s="95"/>
      <c r="N183" s="95"/>
    </row>
    <row r="184" ht="15.75" customHeight="1">
      <c r="A184" s="88">
        <v>181.0</v>
      </c>
      <c r="B184" s="22"/>
      <c r="C184" s="22" t="s">
        <v>3224</v>
      </c>
      <c r="D184" s="22" t="s">
        <v>1220</v>
      </c>
      <c r="E184" s="89">
        <v>4.379970415E9</v>
      </c>
      <c r="F184" s="24" t="s">
        <v>3225</v>
      </c>
      <c r="G184" s="96"/>
      <c r="H184" s="96"/>
      <c r="I184" s="97"/>
      <c r="J184" s="98"/>
      <c r="K184" s="98"/>
      <c r="L184" s="98"/>
      <c r="M184" s="98"/>
      <c r="N184" s="98"/>
    </row>
    <row r="185" ht="15.75" customHeight="1">
      <c r="A185" s="88">
        <v>182.0</v>
      </c>
      <c r="B185" s="22"/>
      <c r="C185" s="22" t="s">
        <v>1222</v>
      </c>
      <c r="D185" s="22" t="s">
        <v>1223</v>
      </c>
      <c r="E185" s="89">
        <v>6.475022293E9</v>
      </c>
      <c r="F185" s="24" t="s">
        <v>3226</v>
      </c>
      <c r="G185" s="93"/>
      <c r="H185" s="93"/>
      <c r="I185" s="94"/>
      <c r="J185" s="95"/>
      <c r="K185" s="95"/>
      <c r="L185" s="95"/>
      <c r="M185" s="95"/>
      <c r="N185" s="95"/>
    </row>
    <row r="186" ht="15.75" customHeight="1">
      <c r="A186" s="88">
        <v>183.0</v>
      </c>
      <c r="B186" s="22"/>
      <c r="C186" s="22" t="s">
        <v>3227</v>
      </c>
      <c r="D186" s="22" t="s">
        <v>1227</v>
      </c>
      <c r="E186" s="89">
        <v>6.476874986E9</v>
      </c>
      <c r="F186" s="24" t="s">
        <v>3228</v>
      </c>
      <c r="G186" s="96"/>
      <c r="H186" s="96"/>
      <c r="I186" s="97"/>
      <c r="J186" s="98"/>
      <c r="K186" s="98"/>
      <c r="L186" s="98"/>
      <c r="M186" s="98"/>
      <c r="N186" s="98"/>
    </row>
    <row r="187" ht="15.75" customHeight="1">
      <c r="A187" s="88">
        <v>184.0</v>
      </c>
      <c r="B187" s="22"/>
      <c r="C187" s="22" t="s">
        <v>1229</v>
      </c>
      <c r="D187" s="22" t="s">
        <v>1230</v>
      </c>
      <c r="E187" s="89">
        <v>6.478470093E9</v>
      </c>
      <c r="F187" s="24" t="s">
        <v>3229</v>
      </c>
      <c r="G187" s="93"/>
      <c r="H187" s="93"/>
      <c r="I187" s="94"/>
      <c r="J187" s="95"/>
      <c r="K187" s="95"/>
      <c r="L187" s="95"/>
      <c r="M187" s="95"/>
      <c r="N187" s="95"/>
    </row>
    <row r="188" ht="15.75" customHeight="1">
      <c r="A188" s="88">
        <v>185.0</v>
      </c>
      <c r="B188" s="22"/>
      <c r="C188" s="22" t="s">
        <v>984</v>
      </c>
      <c r="D188" s="22" t="s">
        <v>985</v>
      </c>
      <c r="E188" s="89">
        <v>3.65662201E9</v>
      </c>
      <c r="F188" s="24" t="s">
        <v>3130</v>
      </c>
      <c r="G188" s="96"/>
      <c r="H188" s="96"/>
      <c r="I188" s="97"/>
      <c r="J188" s="98"/>
      <c r="K188" s="98"/>
      <c r="L188" s="98"/>
      <c r="M188" s="98"/>
      <c r="N188" s="98"/>
    </row>
    <row r="189" ht="15.75" customHeight="1">
      <c r="A189" s="88">
        <v>186.0</v>
      </c>
      <c r="B189" s="22"/>
      <c r="C189" s="22" t="s">
        <v>1232</v>
      </c>
      <c r="D189" s="22" t="s">
        <v>3230</v>
      </c>
      <c r="E189" s="89">
        <v>4.169182805E9</v>
      </c>
      <c r="F189" s="24" t="s">
        <v>3231</v>
      </c>
      <c r="G189" s="93"/>
      <c r="H189" s="93"/>
      <c r="I189" s="94"/>
      <c r="J189" s="95"/>
      <c r="K189" s="95"/>
      <c r="L189" s="95"/>
      <c r="M189" s="95"/>
      <c r="N189" s="95"/>
    </row>
    <row r="190" ht="15.75" customHeight="1">
      <c r="A190" s="88">
        <v>187.0</v>
      </c>
      <c r="B190" s="22"/>
      <c r="C190" s="22" t="s">
        <v>1235</v>
      </c>
      <c r="D190" s="22" t="s">
        <v>167</v>
      </c>
      <c r="E190" s="89">
        <v>6.476162233E9</v>
      </c>
      <c r="F190" s="24" t="s">
        <v>3232</v>
      </c>
      <c r="G190" s="96"/>
      <c r="H190" s="96"/>
      <c r="I190" s="97"/>
      <c r="J190" s="98"/>
      <c r="K190" s="98"/>
      <c r="L190" s="98"/>
      <c r="M190" s="98"/>
      <c r="N190" s="98"/>
    </row>
    <row r="191" ht="15.75" customHeight="1">
      <c r="A191" s="88">
        <v>188.0</v>
      </c>
      <c r="B191" s="22"/>
      <c r="C191" s="22" t="s">
        <v>3233</v>
      </c>
      <c r="D191" s="22" t="s">
        <v>2163</v>
      </c>
      <c r="E191" s="89">
        <v>6.476182511E9</v>
      </c>
      <c r="F191" s="24" t="s">
        <v>3234</v>
      </c>
      <c r="G191" s="93"/>
      <c r="H191" s="93"/>
      <c r="I191" s="94"/>
      <c r="J191" s="95"/>
      <c r="K191" s="95"/>
      <c r="L191" s="95"/>
      <c r="M191" s="95"/>
      <c r="N191" s="95"/>
    </row>
    <row r="192" ht="15.75" customHeight="1">
      <c r="A192" s="88">
        <v>189.0</v>
      </c>
      <c r="B192" s="22"/>
      <c r="C192" s="22" t="s">
        <v>1240</v>
      </c>
      <c r="D192" s="22" t="s">
        <v>1241</v>
      </c>
      <c r="E192" s="89">
        <v>6.477134125E9</v>
      </c>
      <c r="F192" s="24" t="s">
        <v>3235</v>
      </c>
      <c r="G192" s="96"/>
      <c r="H192" s="96"/>
      <c r="I192" s="97"/>
      <c r="J192" s="98"/>
      <c r="K192" s="98"/>
      <c r="L192" s="98"/>
      <c r="M192" s="98"/>
      <c r="N192" s="98"/>
    </row>
    <row r="193" ht="15.75" customHeight="1">
      <c r="A193" s="88">
        <v>190.0</v>
      </c>
      <c r="B193" s="22"/>
      <c r="C193" s="22" t="s">
        <v>3236</v>
      </c>
      <c r="D193" s="22" t="s">
        <v>1244</v>
      </c>
      <c r="E193" s="89">
        <v>4.16949453E9</v>
      </c>
      <c r="F193" s="24" t="s">
        <v>3237</v>
      </c>
      <c r="G193" s="93"/>
      <c r="H193" s="93"/>
      <c r="I193" s="94"/>
      <c r="J193" s="95"/>
      <c r="K193" s="95"/>
      <c r="L193" s="95"/>
      <c r="M193" s="95"/>
      <c r="N193" s="95"/>
    </row>
    <row r="194" ht="15.75" customHeight="1">
      <c r="A194" s="88">
        <v>191.0</v>
      </c>
      <c r="B194" s="22"/>
      <c r="C194" s="22" t="s">
        <v>1247</v>
      </c>
      <c r="D194" s="22" t="s">
        <v>1248</v>
      </c>
      <c r="E194" s="89">
        <v>4.165295936E9</v>
      </c>
      <c r="F194" s="24" t="s">
        <v>3238</v>
      </c>
      <c r="G194" s="96"/>
      <c r="H194" s="96"/>
      <c r="I194" s="97"/>
      <c r="J194" s="98"/>
      <c r="K194" s="98"/>
      <c r="L194" s="98"/>
      <c r="M194" s="98"/>
      <c r="N194" s="98"/>
    </row>
    <row r="195" ht="15.75" customHeight="1">
      <c r="A195" s="88">
        <v>192.0</v>
      </c>
      <c r="B195" s="22"/>
      <c r="C195" s="22" t="s">
        <v>1250</v>
      </c>
      <c r="D195" s="22" t="s">
        <v>1251</v>
      </c>
      <c r="E195" s="89">
        <v>2.899928252E9</v>
      </c>
      <c r="F195" s="24" t="s">
        <v>3239</v>
      </c>
      <c r="G195" s="93"/>
      <c r="H195" s="93"/>
      <c r="I195" s="94"/>
      <c r="J195" s="95"/>
      <c r="K195" s="95"/>
      <c r="L195" s="95"/>
      <c r="M195" s="95"/>
      <c r="N195" s="95"/>
    </row>
    <row r="196" ht="15.75" customHeight="1">
      <c r="A196" s="88">
        <v>193.0</v>
      </c>
      <c r="B196" s="22"/>
      <c r="C196" s="22" t="s">
        <v>1253</v>
      </c>
      <c r="D196" s="22" t="s">
        <v>1254</v>
      </c>
      <c r="E196" s="89">
        <v>4.374302201E9</v>
      </c>
      <c r="F196" s="24" t="s">
        <v>3240</v>
      </c>
      <c r="G196" s="96"/>
      <c r="H196" s="96"/>
      <c r="I196" s="97"/>
      <c r="J196" s="98"/>
      <c r="K196" s="98"/>
      <c r="L196" s="98"/>
      <c r="M196" s="98"/>
      <c r="N196" s="98"/>
    </row>
    <row r="197" ht="15.75" customHeight="1">
      <c r="A197" s="88">
        <v>194.0</v>
      </c>
      <c r="B197" s="22"/>
      <c r="C197" s="22" t="s">
        <v>1256</v>
      </c>
      <c r="D197" s="22" t="s">
        <v>1257</v>
      </c>
      <c r="E197" s="89">
        <v>6.478953839E9</v>
      </c>
      <c r="F197" s="24" t="s">
        <v>3241</v>
      </c>
      <c r="G197" s="93"/>
      <c r="H197" s="93"/>
      <c r="I197" s="94"/>
      <c r="J197" s="95"/>
      <c r="K197" s="95"/>
      <c r="L197" s="95"/>
      <c r="M197" s="95"/>
      <c r="N197" s="95"/>
    </row>
    <row r="198" ht="15.75" customHeight="1">
      <c r="A198" s="88">
        <v>195.0</v>
      </c>
      <c r="B198" s="22"/>
      <c r="C198" s="22" t="s">
        <v>1259</v>
      </c>
      <c r="D198" s="22" t="s">
        <v>1260</v>
      </c>
      <c r="E198" s="89">
        <v>4.169091924E9</v>
      </c>
      <c r="F198" s="24" t="s">
        <v>3242</v>
      </c>
      <c r="G198" s="96"/>
      <c r="H198" s="96"/>
      <c r="I198" s="97"/>
      <c r="J198" s="98"/>
      <c r="K198" s="98"/>
      <c r="L198" s="98"/>
      <c r="M198" s="98"/>
      <c r="N198" s="98"/>
    </row>
    <row r="199" ht="15.75" customHeight="1">
      <c r="A199" s="88">
        <v>196.0</v>
      </c>
      <c r="B199" s="22"/>
      <c r="C199" s="22" t="s">
        <v>1262</v>
      </c>
      <c r="D199" s="22" t="s">
        <v>1263</v>
      </c>
      <c r="E199" s="89">
        <v>6.479906463E9</v>
      </c>
      <c r="F199" s="24" t="s">
        <v>3243</v>
      </c>
      <c r="G199" s="93"/>
      <c r="H199" s="93"/>
      <c r="I199" s="94"/>
      <c r="J199" s="95"/>
      <c r="K199" s="95"/>
      <c r="L199" s="95"/>
      <c r="M199" s="95"/>
      <c r="N199" s="95"/>
    </row>
    <row r="200" ht="15.75" customHeight="1">
      <c r="A200" s="88">
        <v>197.0</v>
      </c>
      <c r="B200" s="22"/>
      <c r="C200" s="22" t="s">
        <v>3244</v>
      </c>
      <c r="D200" s="22" t="s">
        <v>1266</v>
      </c>
      <c r="E200" s="89">
        <v>6.476768274E9</v>
      </c>
      <c r="F200" s="24" t="s">
        <v>3245</v>
      </c>
      <c r="G200" s="96"/>
      <c r="H200" s="96"/>
      <c r="I200" s="97"/>
      <c r="J200" s="98"/>
      <c r="K200" s="98"/>
      <c r="L200" s="98"/>
      <c r="M200" s="98"/>
      <c r="N200" s="98"/>
    </row>
    <row r="201" ht="15.75" customHeight="1">
      <c r="A201" s="88">
        <v>198.0</v>
      </c>
      <c r="B201" s="22"/>
      <c r="C201" s="22" t="s">
        <v>1738</v>
      </c>
      <c r="D201" s="22" t="s">
        <v>3246</v>
      </c>
      <c r="E201" s="89">
        <v>4.379731312E9</v>
      </c>
      <c r="F201" s="24" t="s">
        <v>1721</v>
      </c>
      <c r="G201" s="93"/>
      <c r="H201" s="93"/>
      <c r="I201" s="94"/>
      <c r="J201" s="95"/>
      <c r="K201" s="95"/>
      <c r="L201" s="95"/>
      <c r="M201" s="95"/>
      <c r="N201" s="95"/>
    </row>
    <row r="202" ht="15.75" customHeight="1">
      <c r="A202" s="88">
        <v>199.0</v>
      </c>
      <c r="B202" s="22"/>
      <c r="C202" s="22" t="s">
        <v>1271</v>
      </c>
      <c r="D202" s="22" t="s">
        <v>1272</v>
      </c>
      <c r="E202" s="89">
        <v>6.475151451E9</v>
      </c>
      <c r="F202" s="24" t="s">
        <v>3247</v>
      </c>
      <c r="G202" s="96"/>
      <c r="H202" s="96"/>
      <c r="I202" s="97"/>
      <c r="J202" s="98"/>
      <c r="K202" s="98"/>
      <c r="L202" s="98"/>
      <c r="M202" s="98"/>
      <c r="N202" s="98"/>
    </row>
    <row r="203" ht="15.75" customHeight="1">
      <c r="A203" s="88">
        <v>200.0</v>
      </c>
      <c r="B203" s="22"/>
      <c r="C203" s="22" t="s">
        <v>1206</v>
      </c>
      <c r="D203" s="22" t="s">
        <v>1207</v>
      </c>
      <c r="E203" s="89">
        <v>6.475315687E9</v>
      </c>
      <c r="F203" s="24" t="s">
        <v>3220</v>
      </c>
      <c r="G203" s="93"/>
      <c r="H203" s="93"/>
      <c r="I203" s="94"/>
      <c r="J203" s="95"/>
      <c r="K203" s="95"/>
      <c r="L203" s="95"/>
      <c r="M203" s="95"/>
      <c r="N203" s="95"/>
    </row>
    <row r="204" ht="15.75" customHeight="1">
      <c r="A204" s="88">
        <v>201.0</v>
      </c>
      <c r="B204" s="22"/>
      <c r="C204" s="22" t="s">
        <v>1274</v>
      </c>
      <c r="D204" s="22" t="s">
        <v>1275</v>
      </c>
      <c r="E204" s="89">
        <v>6.475425374E9</v>
      </c>
      <c r="F204" s="24" t="s">
        <v>3248</v>
      </c>
      <c r="G204" s="96"/>
      <c r="H204" s="96"/>
      <c r="I204" s="97"/>
      <c r="J204" s="99"/>
      <c r="K204" s="98"/>
      <c r="L204" s="98"/>
      <c r="M204" s="98"/>
      <c r="N204" s="98"/>
    </row>
    <row r="205" ht="15.75" customHeight="1">
      <c r="A205" s="88">
        <v>202.0</v>
      </c>
      <c r="B205" s="22"/>
      <c r="C205" s="22" t="s">
        <v>1278</v>
      </c>
      <c r="D205" s="22" t="s">
        <v>1279</v>
      </c>
      <c r="E205" s="89">
        <v>4.16939357E9</v>
      </c>
      <c r="F205" s="24" t="s">
        <v>3249</v>
      </c>
      <c r="G205" s="93"/>
      <c r="H205" s="93"/>
      <c r="I205" s="94"/>
      <c r="J205" s="95"/>
      <c r="K205" s="95"/>
      <c r="L205" s="95"/>
      <c r="M205" s="95"/>
      <c r="N205" s="95"/>
    </row>
    <row r="206" ht="15.75" customHeight="1">
      <c r="A206" s="88">
        <v>203.0</v>
      </c>
      <c r="B206" s="22"/>
      <c r="C206" s="22" t="s">
        <v>1281</v>
      </c>
      <c r="D206" s="22" t="s">
        <v>428</v>
      </c>
      <c r="E206" s="89">
        <v>6.477203088E9</v>
      </c>
      <c r="F206" s="24" t="s">
        <v>3250</v>
      </c>
      <c r="G206" s="96"/>
      <c r="H206" s="96"/>
      <c r="I206" s="97"/>
      <c r="J206" s="98"/>
      <c r="K206" s="98"/>
      <c r="L206" s="98"/>
      <c r="M206" s="98"/>
      <c r="N206" s="98"/>
    </row>
    <row r="207" ht="15.75" customHeight="1">
      <c r="A207" s="88">
        <v>204.0</v>
      </c>
      <c r="B207" s="22"/>
      <c r="C207" s="22" t="s">
        <v>3251</v>
      </c>
      <c r="D207" s="22" t="s">
        <v>1269</v>
      </c>
      <c r="E207" s="89">
        <v>4.379731312E9</v>
      </c>
      <c r="F207" s="24" t="s">
        <v>1721</v>
      </c>
      <c r="G207" s="93"/>
      <c r="H207" s="93"/>
      <c r="I207" s="94"/>
      <c r="J207" s="95"/>
      <c r="K207" s="95"/>
      <c r="L207" s="95"/>
      <c r="M207" s="95"/>
      <c r="N207" s="95"/>
    </row>
    <row r="208" ht="15.75" customHeight="1">
      <c r="A208" s="88">
        <v>205.0</v>
      </c>
      <c r="B208" s="22"/>
      <c r="C208" s="22" t="s">
        <v>1283</v>
      </c>
      <c r="D208" s="22" t="s">
        <v>1284</v>
      </c>
      <c r="E208" s="89">
        <v>9.055500978E9</v>
      </c>
      <c r="F208" s="24" t="s">
        <v>3252</v>
      </c>
      <c r="G208" s="96"/>
      <c r="H208" s="96"/>
      <c r="I208" s="97"/>
      <c r="J208" s="98"/>
      <c r="K208" s="98"/>
      <c r="L208" s="98"/>
      <c r="M208" s="98"/>
      <c r="N208" s="98"/>
    </row>
    <row r="209" ht="15.75" customHeight="1">
      <c r="A209" s="88">
        <v>206.0</v>
      </c>
      <c r="B209" s="22"/>
      <c r="C209" s="22" t="s">
        <v>1286</v>
      </c>
      <c r="D209" s="22" t="s">
        <v>1287</v>
      </c>
      <c r="E209" s="89">
        <v>4.168325068E9</v>
      </c>
      <c r="F209" s="24" t="s">
        <v>3253</v>
      </c>
      <c r="G209" s="93"/>
      <c r="H209" s="93"/>
      <c r="I209" s="94"/>
      <c r="J209" s="95"/>
      <c r="K209" s="95"/>
      <c r="L209" s="95"/>
      <c r="M209" s="95"/>
      <c r="N209" s="95"/>
    </row>
    <row r="210" ht="15.75" customHeight="1">
      <c r="A210" s="88">
        <v>207.0</v>
      </c>
      <c r="B210" s="22"/>
      <c r="C210" s="22" t="s">
        <v>1290</v>
      </c>
      <c r="D210" s="22" t="s">
        <v>1291</v>
      </c>
      <c r="E210" s="89">
        <v>6.478221202E9</v>
      </c>
      <c r="F210" s="24" t="s">
        <v>3254</v>
      </c>
      <c r="G210" s="96"/>
      <c r="H210" s="96"/>
      <c r="I210" s="97"/>
      <c r="J210" s="98"/>
      <c r="K210" s="98"/>
      <c r="L210" s="98"/>
      <c r="M210" s="98"/>
      <c r="N210" s="98"/>
    </row>
    <row r="211" ht="15.75" customHeight="1">
      <c r="A211" s="88">
        <v>208.0</v>
      </c>
      <c r="B211" s="22"/>
      <c r="C211" s="22" t="s">
        <v>1293</v>
      </c>
      <c r="D211" s="22" t="s">
        <v>306</v>
      </c>
      <c r="E211" s="89">
        <v>6.473239555E9</v>
      </c>
      <c r="F211" s="24" t="s">
        <v>3255</v>
      </c>
      <c r="G211" s="93"/>
      <c r="H211" s="93"/>
      <c r="I211" s="94"/>
      <c r="J211" s="95"/>
      <c r="K211" s="95"/>
      <c r="L211" s="95"/>
      <c r="M211" s="95"/>
      <c r="N211" s="95"/>
    </row>
    <row r="212" ht="15.75" customHeight="1">
      <c r="A212" s="88">
        <v>209.0</v>
      </c>
      <c r="B212" s="22"/>
      <c r="C212" s="22" t="s">
        <v>1295</v>
      </c>
      <c r="D212" s="22" t="s">
        <v>1296</v>
      </c>
      <c r="E212" s="89">
        <v>7.05500152E9</v>
      </c>
      <c r="F212" s="24" t="s">
        <v>3256</v>
      </c>
      <c r="G212" s="96"/>
      <c r="H212" s="96"/>
      <c r="I212" s="97"/>
      <c r="J212" s="98"/>
      <c r="K212" s="98"/>
      <c r="L212" s="98"/>
      <c r="M212" s="98"/>
      <c r="N212" s="98"/>
    </row>
    <row r="213" ht="15.75" customHeight="1">
      <c r="A213" s="88">
        <v>210.0</v>
      </c>
      <c r="B213" s="22"/>
      <c r="C213" s="22" t="s">
        <v>1298</v>
      </c>
      <c r="D213" s="22" t="s">
        <v>1299</v>
      </c>
      <c r="E213" s="89">
        <v>2.268202164E9</v>
      </c>
      <c r="F213" s="24" t="s">
        <v>3257</v>
      </c>
      <c r="G213" s="93"/>
      <c r="H213" s="93"/>
      <c r="I213" s="94"/>
      <c r="J213" s="95"/>
      <c r="K213" s="95"/>
      <c r="L213" s="95"/>
      <c r="M213" s="95"/>
      <c r="N213" s="95"/>
    </row>
    <row r="214" ht="15.75" customHeight="1">
      <c r="A214" s="88">
        <v>211.0</v>
      </c>
      <c r="B214" s="22"/>
      <c r="C214" s="22" t="s">
        <v>1301</v>
      </c>
      <c r="D214" s="22" t="s">
        <v>1302</v>
      </c>
      <c r="E214" s="89">
        <v>6.47860747E8</v>
      </c>
      <c r="F214" s="24" t="s">
        <v>3258</v>
      </c>
      <c r="G214" s="96"/>
      <c r="H214" s="96"/>
      <c r="I214" s="97"/>
      <c r="J214" s="98"/>
      <c r="K214" s="98"/>
      <c r="L214" s="98"/>
      <c r="M214" s="98"/>
      <c r="N214" s="98"/>
    </row>
    <row r="215" ht="15.75" customHeight="1">
      <c r="A215" s="88">
        <v>212.0</v>
      </c>
      <c r="B215" s="22"/>
      <c r="C215" s="22" t="s">
        <v>3259</v>
      </c>
      <c r="D215" s="22" t="s">
        <v>713</v>
      </c>
      <c r="E215" s="89">
        <v>4.165500586E9</v>
      </c>
      <c r="F215" s="24" t="s">
        <v>3260</v>
      </c>
      <c r="G215" s="93"/>
      <c r="H215" s="93"/>
      <c r="I215" s="94"/>
      <c r="J215" s="95"/>
      <c r="K215" s="95"/>
      <c r="L215" s="95"/>
      <c r="M215" s="95"/>
      <c r="N215" s="95"/>
    </row>
    <row r="216" ht="15.75" customHeight="1">
      <c r="A216" s="88">
        <v>213.0</v>
      </c>
      <c r="B216" s="22"/>
      <c r="C216" s="22" t="s">
        <v>3261</v>
      </c>
      <c r="D216" s="22" t="s">
        <v>1306</v>
      </c>
      <c r="E216" s="89">
        <v>2.899433865E9</v>
      </c>
      <c r="F216" s="24" t="s">
        <v>3262</v>
      </c>
      <c r="G216" s="96"/>
      <c r="H216" s="96"/>
      <c r="I216" s="97"/>
      <c r="J216" s="98"/>
      <c r="K216" s="98"/>
      <c r="L216" s="98"/>
      <c r="M216" s="98"/>
      <c r="N216" s="98"/>
    </row>
    <row r="217" ht="15.75" customHeight="1">
      <c r="A217" s="88">
        <v>214.0</v>
      </c>
      <c r="B217" s="22"/>
      <c r="C217" s="22" t="s">
        <v>164</v>
      </c>
      <c r="D217" s="22" t="s">
        <v>1308</v>
      </c>
      <c r="E217" s="89">
        <v>6.137001583E9</v>
      </c>
      <c r="F217" s="24" t="s">
        <v>3263</v>
      </c>
      <c r="G217" s="93"/>
      <c r="H217" s="93"/>
      <c r="I217" s="94"/>
      <c r="J217" s="95"/>
      <c r="K217" s="95"/>
      <c r="L217" s="95"/>
      <c r="M217" s="95"/>
      <c r="N217" s="95"/>
    </row>
    <row r="218" ht="15.75" customHeight="1">
      <c r="A218" s="88">
        <v>215.0</v>
      </c>
      <c r="B218" s="22"/>
      <c r="C218" s="22" t="s">
        <v>1310</v>
      </c>
      <c r="D218" s="22" t="s">
        <v>1311</v>
      </c>
      <c r="E218" s="89">
        <v>6.479194629E9</v>
      </c>
      <c r="F218" s="24" t="s">
        <v>3264</v>
      </c>
      <c r="G218" s="96"/>
      <c r="H218" s="96"/>
      <c r="I218" s="97"/>
      <c r="J218" s="98"/>
      <c r="K218" s="98"/>
      <c r="L218" s="98"/>
      <c r="M218" s="98"/>
      <c r="N218" s="98"/>
    </row>
    <row r="219" ht="15.75" customHeight="1">
      <c r="A219" s="88">
        <v>216.0</v>
      </c>
      <c r="B219" s="22"/>
      <c r="C219" s="22" t="s">
        <v>1313</v>
      </c>
      <c r="D219" s="22" t="s">
        <v>60</v>
      </c>
      <c r="E219" s="89">
        <v>9.057825533E9</v>
      </c>
      <c r="F219" s="24" t="s">
        <v>3265</v>
      </c>
      <c r="G219" s="93"/>
      <c r="H219" s="93"/>
      <c r="I219" s="100"/>
      <c r="J219" s="95"/>
      <c r="K219" s="95"/>
      <c r="L219" s="95"/>
      <c r="M219" s="95"/>
      <c r="N219" s="95"/>
    </row>
    <row r="220" ht="15.75" customHeight="1">
      <c r="A220" s="88">
        <v>217.0</v>
      </c>
      <c r="B220" s="22"/>
      <c r="C220" s="22" t="s">
        <v>1315</v>
      </c>
      <c r="D220" s="22" t="s">
        <v>1316</v>
      </c>
      <c r="E220" s="89">
        <v>6.134070277E9</v>
      </c>
      <c r="F220" s="24" t="s">
        <v>3266</v>
      </c>
      <c r="G220" s="96"/>
      <c r="H220" s="96"/>
      <c r="I220" s="100"/>
      <c r="J220" s="98"/>
      <c r="K220" s="98"/>
      <c r="L220" s="98"/>
      <c r="M220" s="98"/>
      <c r="N220" s="98"/>
    </row>
    <row r="221" ht="15.75" customHeight="1">
      <c r="A221" s="88">
        <v>218.0</v>
      </c>
      <c r="B221" s="22"/>
      <c r="C221" s="22" t="s">
        <v>1147</v>
      </c>
      <c r="D221" s="22" t="s">
        <v>3267</v>
      </c>
      <c r="E221" s="89">
        <v>6.472064363E9</v>
      </c>
      <c r="F221" s="24" t="s">
        <v>3268</v>
      </c>
      <c r="G221" s="93"/>
      <c r="H221" s="93"/>
      <c r="I221" s="100"/>
      <c r="J221" s="95"/>
      <c r="K221" s="95"/>
      <c r="L221" s="95"/>
      <c r="M221" s="95"/>
      <c r="N221" s="95"/>
    </row>
    <row r="222" ht="15.75" customHeight="1">
      <c r="A222" s="88">
        <v>219.0</v>
      </c>
      <c r="B222" s="22"/>
      <c r="C222" s="22" t="s">
        <v>1321</v>
      </c>
      <c r="D222" s="22" t="s">
        <v>1322</v>
      </c>
      <c r="E222" s="89">
        <v>6.478654225E9</v>
      </c>
      <c r="F222" s="24" t="s">
        <v>3269</v>
      </c>
      <c r="G222" s="96"/>
      <c r="H222" s="96"/>
      <c r="I222" s="100"/>
      <c r="J222" s="98"/>
      <c r="K222" s="98"/>
      <c r="L222" s="98"/>
      <c r="M222" s="98"/>
      <c r="N222" s="98"/>
    </row>
    <row r="223" ht="15.75" customHeight="1">
      <c r="A223" s="88">
        <v>220.0</v>
      </c>
      <c r="B223" s="22"/>
      <c r="C223" s="22" t="s">
        <v>1324</v>
      </c>
      <c r="D223" s="22" t="s">
        <v>1325</v>
      </c>
      <c r="E223" s="89">
        <v>6.47299121E9</v>
      </c>
      <c r="F223" s="24" t="s">
        <v>3270</v>
      </c>
      <c r="G223" s="101"/>
      <c r="H223" s="101"/>
      <c r="I223" s="100"/>
      <c r="J223" s="102"/>
      <c r="K223" s="102"/>
      <c r="L223" s="102"/>
      <c r="M223" s="102"/>
      <c r="N223" s="102"/>
    </row>
    <row r="224" ht="15.75" customHeight="1">
      <c r="A224" s="88">
        <v>221.0</v>
      </c>
      <c r="B224" s="22"/>
      <c r="C224" s="22" t="s">
        <v>1327</v>
      </c>
      <c r="D224" s="22" t="s">
        <v>1328</v>
      </c>
      <c r="E224" s="89">
        <v>2.892214094E9</v>
      </c>
      <c r="F224" s="24" t="s">
        <v>3271</v>
      </c>
      <c r="G224" s="101"/>
      <c r="H224" s="101"/>
      <c r="I224" s="100"/>
      <c r="J224" s="102"/>
      <c r="K224" s="102"/>
      <c r="L224" s="102"/>
      <c r="M224" s="102"/>
      <c r="N224" s="102"/>
    </row>
    <row r="225" ht="15.75" customHeight="1">
      <c r="A225" s="103">
        <v>222.0</v>
      </c>
      <c r="B225" s="104"/>
      <c r="C225" s="104" t="s">
        <v>1295</v>
      </c>
      <c r="D225" s="104" t="s">
        <v>1296</v>
      </c>
      <c r="E225" s="105">
        <v>7.05500152E9</v>
      </c>
      <c r="F225" s="106" t="s">
        <v>3256</v>
      </c>
      <c r="G225" s="107"/>
      <c r="H225" s="107"/>
      <c r="I225" s="100"/>
      <c r="J225" s="102"/>
      <c r="K225" s="102"/>
      <c r="L225" s="102"/>
      <c r="M225" s="102"/>
      <c r="N225" s="102"/>
    </row>
    <row r="226" ht="15.75" customHeight="1">
      <c r="A226" s="108">
        <v>223.0</v>
      </c>
      <c r="B226" s="109"/>
      <c r="C226" s="109" t="s">
        <v>1330</v>
      </c>
      <c r="D226" s="109" t="s">
        <v>1331</v>
      </c>
      <c r="E226" s="110">
        <v>9.05242498E9</v>
      </c>
      <c r="F226" s="111" t="s">
        <v>3272</v>
      </c>
      <c r="G226" s="112"/>
      <c r="H226" s="112"/>
      <c r="I226" s="100"/>
      <c r="J226" s="102"/>
      <c r="K226" s="102"/>
      <c r="L226" s="102"/>
      <c r="M226" s="102"/>
      <c r="N226" s="102"/>
    </row>
    <row r="227" ht="15.75" customHeight="1">
      <c r="A227" s="88">
        <v>224.0</v>
      </c>
      <c r="B227" s="22"/>
      <c r="C227" s="22" t="s">
        <v>1333</v>
      </c>
      <c r="D227" s="22" t="s">
        <v>1334</v>
      </c>
      <c r="E227" s="89">
        <v>4.084385726E9</v>
      </c>
      <c r="F227" s="24" t="s">
        <v>3273</v>
      </c>
      <c r="G227" s="101"/>
      <c r="H227" s="101"/>
      <c r="I227" s="100"/>
      <c r="J227" s="102"/>
      <c r="K227" s="102"/>
      <c r="L227" s="102"/>
      <c r="M227" s="102"/>
      <c r="N227" s="102"/>
    </row>
    <row r="228" ht="15.75" customHeight="1">
      <c r="A228" s="88">
        <v>225.0</v>
      </c>
      <c r="B228" s="22"/>
      <c r="C228" s="22" t="s">
        <v>1336</v>
      </c>
      <c r="D228" s="22" t="s">
        <v>1337</v>
      </c>
      <c r="E228" s="89">
        <v>2.899832536E9</v>
      </c>
      <c r="F228" s="24" t="s">
        <v>3274</v>
      </c>
      <c r="G228" s="101"/>
      <c r="H228" s="101"/>
      <c r="I228" s="113"/>
      <c r="J228" s="102"/>
      <c r="K228" s="102"/>
      <c r="L228" s="102"/>
      <c r="M228" s="102"/>
      <c r="N228" s="102"/>
    </row>
    <row r="229" ht="15.75" customHeight="1">
      <c r="A229" s="88">
        <v>226.0</v>
      </c>
      <c r="B229" s="22"/>
      <c r="C229" s="22" t="s">
        <v>1496</v>
      </c>
      <c r="D229" s="22" t="s">
        <v>1497</v>
      </c>
      <c r="E229" s="89">
        <v>6.475102606E9</v>
      </c>
      <c r="F229" s="24" t="s">
        <v>3275</v>
      </c>
      <c r="G229" s="101"/>
      <c r="H229" s="101"/>
      <c r="I229" s="113"/>
      <c r="J229" s="102"/>
      <c r="K229" s="102"/>
      <c r="L229" s="102"/>
      <c r="M229" s="102"/>
      <c r="N229" s="102"/>
    </row>
    <row r="230" ht="15.75" customHeight="1">
      <c r="A230" s="88">
        <v>227.0</v>
      </c>
      <c r="B230" s="22"/>
      <c r="C230" s="22" t="s">
        <v>1295</v>
      </c>
      <c r="D230" s="22" t="s">
        <v>1296</v>
      </c>
      <c r="E230" s="89">
        <v>7.05500152E9</v>
      </c>
      <c r="F230" s="24" t="s">
        <v>3256</v>
      </c>
      <c r="G230" s="101"/>
      <c r="H230" s="101"/>
      <c r="I230" s="113"/>
      <c r="J230" s="102"/>
      <c r="K230" s="102"/>
      <c r="L230" s="102"/>
      <c r="M230" s="102"/>
      <c r="N230" s="102"/>
    </row>
    <row r="231" ht="15.75" customHeight="1">
      <c r="A231" s="108">
        <v>228.0</v>
      </c>
      <c r="B231" s="109"/>
      <c r="C231" s="109" t="s">
        <v>1499</v>
      </c>
      <c r="D231" s="109" t="s">
        <v>1500</v>
      </c>
      <c r="E231" s="110">
        <v>6.476866879E9</v>
      </c>
      <c r="F231" s="111" t="s">
        <v>1772</v>
      </c>
      <c r="G231" s="112"/>
      <c r="H231" s="112"/>
      <c r="I231" s="113"/>
      <c r="J231" s="102"/>
      <c r="K231" s="102"/>
      <c r="L231" s="102"/>
      <c r="M231" s="102"/>
      <c r="N231" s="102"/>
    </row>
    <row r="232" ht="15.75" customHeight="1">
      <c r="A232" s="88">
        <v>229.0</v>
      </c>
      <c r="B232" s="56"/>
      <c r="C232" s="56" t="s">
        <v>3276</v>
      </c>
      <c r="D232" s="56" t="s">
        <v>1504</v>
      </c>
      <c r="E232" s="114" t="s">
        <v>3277</v>
      </c>
      <c r="F232" s="115" t="s">
        <v>3278</v>
      </c>
      <c r="G232" s="116" t="s">
        <v>3279</v>
      </c>
      <c r="H232" s="116" t="s">
        <v>3280</v>
      </c>
      <c r="I232" s="116"/>
      <c r="J232" s="56"/>
      <c r="K232" s="56"/>
      <c r="L232" s="56"/>
      <c r="M232" s="56"/>
      <c r="N232" s="56"/>
    </row>
    <row r="233" ht="15.75" customHeight="1">
      <c r="A233" s="88">
        <v>230.0</v>
      </c>
      <c r="B233" s="56"/>
      <c r="C233" s="56" t="s">
        <v>1506</v>
      </c>
      <c r="D233" s="56" t="s">
        <v>1507</v>
      </c>
      <c r="E233" s="114" t="s">
        <v>3281</v>
      </c>
      <c r="F233" s="115" t="s">
        <v>3282</v>
      </c>
      <c r="G233" s="116" t="s">
        <v>3283</v>
      </c>
      <c r="H233" s="116" t="s">
        <v>3280</v>
      </c>
      <c r="I233" s="116"/>
      <c r="J233" s="56"/>
      <c r="K233" s="56"/>
      <c r="L233" s="56"/>
      <c r="M233" s="56"/>
      <c r="N233" s="56"/>
    </row>
    <row r="234" ht="15.75" customHeight="1">
      <c r="A234" s="88">
        <v>231.0</v>
      </c>
      <c r="B234" s="56"/>
      <c r="C234" s="56" t="s">
        <v>1509</v>
      </c>
      <c r="D234" s="56" t="s">
        <v>1510</v>
      </c>
      <c r="E234" s="114" t="s">
        <v>3284</v>
      </c>
      <c r="F234" s="115" t="s">
        <v>3285</v>
      </c>
      <c r="G234" s="116" t="s">
        <v>3286</v>
      </c>
      <c r="H234" s="116" t="s">
        <v>3280</v>
      </c>
      <c r="I234" s="116"/>
      <c r="J234" s="56"/>
      <c r="K234" s="56"/>
      <c r="L234" s="56"/>
      <c r="M234" s="56"/>
      <c r="N234" s="56"/>
    </row>
    <row r="235" ht="15.75" customHeight="1">
      <c r="A235" s="88">
        <v>232.0</v>
      </c>
      <c r="B235" s="56"/>
      <c r="C235" s="56" t="s">
        <v>1512</v>
      </c>
      <c r="D235" s="56" t="s">
        <v>1513</v>
      </c>
      <c r="E235" s="114" t="s">
        <v>3287</v>
      </c>
      <c r="F235" s="115" t="s">
        <v>3288</v>
      </c>
      <c r="G235" s="116" t="s">
        <v>3289</v>
      </c>
      <c r="H235" s="116" t="s">
        <v>3280</v>
      </c>
      <c r="I235" s="116"/>
      <c r="J235" s="56"/>
      <c r="K235" s="56"/>
      <c r="L235" s="56"/>
      <c r="M235" s="56"/>
      <c r="N235" s="56"/>
    </row>
    <row r="236" ht="15.75" customHeight="1">
      <c r="A236" s="88">
        <v>233.0</v>
      </c>
      <c r="B236" s="56"/>
      <c r="C236" s="56" t="s">
        <v>1058</v>
      </c>
      <c r="D236" s="56" t="s">
        <v>4</v>
      </c>
      <c r="E236" s="114" t="s">
        <v>3290</v>
      </c>
      <c r="F236" s="115" t="s">
        <v>3291</v>
      </c>
      <c r="G236" s="117" t="s">
        <v>3292</v>
      </c>
      <c r="H236" s="116" t="s">
        <v>3280</v>
      </c>
      <c r="I236" s="116"/>
      <c r="J236" s="56"/>
      <c r="K236" s="56"/>
      <c r="L236" s="56"/>
      <c r="M236" s="56"/>
      <c r="N236" s="56"/>
    </row>
    <row r="237" ht="15.75" customHeight="1">
      <c r="A237" s="88">
        <v>234.0</v>
      </c>
      <c r="B237" s="56"/>
      <c r="C237" s="56" t="s">
        <v>1516</v>
      </c>
      <c r="D237" s="56" t="s">
        <v>1517</v>
      </c>
      <c r="E237" s="114" t="s">
        <v>3293</v>
      </c>
      <c r="F237" s="115" t="s">
        <v>3294</v>
      </c>
      <c r="G237" s="116" t="s">
        <v>3295</v>
      </c>
      <c r="H237" s="116" t="s">
        <v>3280</v>
      </c>
      <c r="I237" s="116"/>
      <c r="J237" s="56"/>
      <c r="K237" s="56"/>
      <c r="L237" s="56"/>
      <c r="M237" s="56"/>
      <c r="N237" s="56"/>
    </row>
    <row r="238" ht="15.75" customHeight="1">
      <c r="A238" s="88">
        <v>235.0</v>
      </c>
      <c r="B238" s="56"/>
      <c r="C238" s="56" t="s">
        <v>3296</v>
      </c>
      <c r="D238" s="56" t="s">
        <v>753</v>
      </c>
      <c r="E238" s="114" t="s">
        <v>1525</v>
      </c>
      <c r="F238" s="115" t="s">
        <v>3297</v>
      </c>
      <c r="G238" s="116" t="s">
        <v>3283</v>
      </c>
      <c r="H238" s="116" t="s">
        <v>3280</v>
      </c>
      <c r="I238" s="116"/>
      <c r="J238" s="56"/>
      <c r="K238" s="56"/>
      <c r="L238" s="56"/>
      <c r="M238" s="56"/>
      <c r="N238" s="56"/>
    </row>
    <row r="239" ht="15.75" customHeight="1">
      <c r="A239" s="88">
        <v>236.0</v>
      </c>
      <c r="B239" s="56"/>
      <c r="C239" s="56" t="s">
        <v>1526</v>
      </c>
      <c r="D239" s="56" t="s">
        <v>753</v>
      </c>
      <c r="E239" s="114" t="s">
        <v>3298</v>
      </c>
      <c r="F239" s="115" t="s">
        <v>1801</v>
      </c>
      <c r="G239" s="116" t="s">
        <v>3299</v>
      </c>
      <c r="H239" s="116" t="s">
        <v>3300</v>
      </c>
      <c r="I239" s="116"/>
      <c r="J239" s="56"/>
      <c r="K239" s="56"/>
      <c r="L239" s="56"/>
      <c r="M239" s="56"/>
      <c r="N239" s="56"/>
    </row>
    <row r="240" ht="15.75" customHeight="1">
      <c r="A240" s="88">
        <v>237.0</v>
      </c>
      <c r="B240" s="56"/>
      <c r="C240" s="56" t="s">
        <v>1528</v>
      </c>
      <c r="D240" s="56" t="s">
        <v>1529</v>
      </c>
      <c r="E240" s="114" t="s">
        <v>3301</v>
      </c>
      <c r="F240" s="115" t="s">
        <v>1802</v>
      </c>
      <c r="G240" s="116" t="s">
        <v>3292</v>
      </c>
      <c r="H240" s="116" t="s">
        <v>3300</v>
      </c>
      <c r="I240" s="116"/>
      <c r="J240" s="56"/>
      <c r="K240" s="56"/>
      <c r="L240" s="56"/>
      <c r="M240" s="56"/>
      <c r="N240" s="56"/>
    </row>
    <row r="241" ht="15.75" customHeight="1">
      <c r="A241" s="88">
        <v>238.0</v>
      </c>
      <c r="B241" s="118"/>
      <c r="C241" s="118" t="s">
        <v>1532</v>
      </c>
      <c r="D241" s="118" t="s">
        <v>1533</v>
      </c>
      <c r="E241" s="119">
        <v>6.479857577E9</v>
      </c>
      <c r="F241" s="120" t="s">
        <v>3302</v>
      </c>
      <c r="G241" s="121"/>
      <c r="H241" s="121"/>
      <c r="I241" s="121"/>
      <c r="J241" s="118"/>
      <c r="K241" s="118"/>
      <c r="L241" s="118"/>
      <c r="M241" s="118"/>
      <c r="N241" s="118"/>
    </row>
    <row r="242" ht="15.75" customHeight="1">
      <c r="A242" s="88">
        <v>239.0</v>
      </c>
      <c r="B242" s="118"/>
      <c r="C242" s="118" t="s">
        <v>1253</v>
      </c>
      <c r="D242" s="118" t="s">
        <v>1254</v>
      </c>
      <c r="E242" s="119">
        <v>4.374302201E9</v>
      </c>
      <c r="F242" s="120" t="s">
        <v>3240</v>
      </c>
      <c r="G242" s="121"/>
      <c r="H242" s="121"/>
      <c r="I242" s="121"/>
      <c r="J242" s="118"/>
      <c r="K242" s="118"/>
      <c r="L242" s="118"/>
      <c r="M242" s="118"/>
      <c r="N242" s="118"/>
    </row>
    <row r="243" ht="15.75" customHeight="1">
      <c r="A243" s="88">
        <v>240.0</v>
      </c>
      <c r="B243" s="118"/>
      <c r="C243" s="118" t="s">
        <v>1535</v>
      </c>
      <c r="D243" s="118" t="s">
        <v>3303</v>
      </c>
      <c r="E243" s="119">
        <v>4.165645893E9</v>
      </c>
      <c r="F243" s="120" t="s">
        <v>3304</v>
      </c>
      <c r="G243" s="121"/>
      <c r="H243" s="121"/>
      <c r="I243" s="121"/>
      <c r="J243" s="118"/>
      <c r="K243" s="118"/>
      <c r="L243" s="118"/>
      <c r="M243" s="118"/>
      <c r="N243" s="118"/>
    </row>
    <row r="244" ht="15.75" customHeight="1">
      <c r="A244" s="88">
        <v>241.0</v>
      </c>
      <c r="B244" s="118"/>
      <c r="C244" s="118" t="s">
        <v>591</v>
      </c>
      <c r="D244" s="118" t="s">
        <v>1538</v>
      </c>
      <c r="E244" s="119">
        <v>2.893147923E9</v>
      </c>
      <c r="F244" s="120" t="s">
        <v>3305</v>
      </c>
      <c r="G244" s="121"/>
      <c r="H244" s="121"/>
      <c r="I244" s="121"/>
      <c r="J244" s="118"/>
      <c r="K244" s="118"/>
      <c r="L244" s="118"/>
      <c r="M244" s="118"/>
      <c r="N244" s="118"/>
    </row>
    <row r="245" ht="15.75" customHeight="1">
      <c r="A245" s="88">
        <v>242.0</v>
      </c>
      <c r="B245" s="118"/>
      <c r="C245" s="118" t="s">
        <v>1540</v>
      </c>
      <c r="D245" s="118" t="s">
        <v>1541</v>
      </c>
      <c r="E245" s="119">
        <v>2.492880515E9</v>
      </c>
      <c r="F245" s="120" t="s">
        <v>3306</v>
      </c>
      <c r="G245" s="121"/>
      <c r="H245" s="121"/>
      <c r="I245" s="121"/>
      <c r="J245" s="118"/>
      <c r="K245" s="118"/>
      <c r="L245" s="118"/>
      <c r="M245" s="118"/>
      <c r="N245" s="118"/>
    </row>
    <row r="246" ht="15.75" customHeight="1">
      <c r="A246" s="88">
        <v>243.0</v>
      </c>
      <c r="B246" s="118"/>
      <c r="C246" s="118" t="s">
        <v>1543</v>
      </c>
      <c r="D246" s="118" t="s">
        <v>3307</v>
      </c>
      <c r="E246" s="119">
        <v>6.474623137E9</v>
      </c>
      <c r="F246" s="120" t="s">
        <v>3308</v>
      </c>
      <c r="G246" s="121"/>
      <c r="H246" s="121"/>
      <c r="I246" s="121"/>
      <c r="J246" s="118"/>
      <c r="K246" s="118"/>
      <c r="L246" s="118"/>
      <c r="M246" s="118"/>
      <c r="N246" s="118"/>
    </row>
    <row r="247" ht="15.75" customHeight="1">
      <c r="A247" s="88">
        <v>244.0</v>
      </c>
      <c r="B247" s="118"/>
      <c r="C247" s="118" t="s">
        <v>1545</v>
      </c>
      <c r="D247" s="118" t="s">
        <v>1546</v>
      </c>
      <c r="E247" s="119">
        <v>4.163713428E9</v>
      </c>
      <c r="F247" s="120" t="s">
        <v>3309</v>
      </c>
      <c r="G247" s="121"/>
      <c r="H247" s="121"/>
      <c r="I247" s="121"/>
      <c r="J247" s="118"/>
      <c r="K247" s="118"/>
      <c r="L247" s="118"/>
      <c r="M247" s="118"/>
      <c r="N247" s="118"/>
    </row>
    <row r="248" ht="15.75" customHeight="1">
      <c r="A248" s="88">
        <v>245.0</v>
      </c>
      <c r="B248" s="122">
        <v>45705.0</v>
      </c>
      <c r="C248" s="118" t="s">
        <v>1548</v>
      </c>
      <c r="D248" s="118" t="s">
        <v>1549</v>
      </c>
      <c r="E248" s="119">
        <v>6.472933679E9</v>
      </c>
      <c r="F248" s="120" t="s">
        <v>3310</v>
      </c>
      <c r="G248" s="121"/>
      <c r="H248" s="121"/>
      <c r="I248" s="121"/>
      <c r="J248" s="118"/>
      <c r="K248" s="118"/>
      <c r="L248" s="118"/>
      <c r="M248" s="118"/>
      <c r="N248" s="118"/>
    </row>
    <row r="249" ht="15.75" customHeight="1">
      <c r="A249" s="88">
        <v>246.0</v>
      </c>
      <c r="B249" s="122">
        <v>45706.0</v>
      </c>
      <c r="C249" s="118" t="s">
        <v>1551</v>
      </c>
      <c r="D249" s="118" t="s">
        <v>3311</v>
      </c>
      <c r="E249" s="119">
        <v>6.474497602E9</v>
      </c>
      <c r="F249" s="120" t="s">
        <v>3312</v>
      </c>
      <c r="G249" s="121"/>
      <c r="H249" s="121"/>
      <c r="I249" s="121"/>
      <c r="J249" s="118"/>
      <c r="K249" s="118"/>
      <c r="L249" s="118"/>
      <c r="M249" s="118"/>
      <c r="N249" s="118"/>
    </row>
    <row r="250" ht="15.75" customHeight="1">
      <c r="A250" s="88">
        <v>247.0</v>
      </c>
      <c r="B250" s="122">
        <v>45706.0</v>
      </c>
      <c r="C250" s="118" t="s">
        <v>1554</v>
      </c>
      <c r="D250" s="118" t="s">
        <v>1555</v>
      </c>
      <c r="E250" s="119">
        <v>4.164003329E9</v>
      </c>
      <c r="F250" s="119" t="s">
        <v>3313</v>
      </c>
      <c r="G250" s="121"/>
      <c r="H250" s="121"/>
      <c r="I250" s="121"/>
      <c r="J250" s="118"/>
      <c r="K250" s="118"/>
      <c r="L250" s="118"/>
      <c r="M250" s="118"/>
      <c r="N250" s="118"/>
    </row>
    <row r="251" ht="15.75" customHeight="1">
      <c r="A251" s="88">
        <v>248.0</v>
      </c>
      <c r="B251" s="122">
        <v>45706.0</v>
      </c>
      <c r="C251" s="118" t="s">
        <v>62</v>
      </c>
      <c r="D251" s="118" t="s">
        <v>7</v>
      </c>
      <c r="E251" s="119" t="s">
        <v>3314</v>
      </c>
      <c r="F251" s="120" t="s">
        <v>3315</v>
      </c>
      <c r="G251" s="121" t="s">
        <v>3283</v>
      </c>
      <c r="H251" s="121" t="s">
        <v>3316</v>
      </c>
      <c r="I251" s="121"/>
      <c r="J251" s="118"/>
      <c r="K251" s="118"/>
      <c r="L251" s="118"/>
      <c r="M251" s="118"/>
      <c r="N251" s="118"/>
    </row>
    <row r="252" ht="15.75" customHeight="1">
      <c r="A252" s="88">
        <v>249.0</v>
      </c>
      <c r="B252" s="122">
        <v>45706.0</v>
      </c>
      <c r="C252" s="118" t="s">
        <v>116</v>
      </c>
      <c r="D252" s="118" t="s">
        <v>1436</v>
      </c>
      <c r="E252" s="119" t="s">
        <v>3317</v>
      </c>
      <c r="F252" s="120" t="s">
        <v>3318</v>
      </c>
      <c r="G252" s="121" t="s">
        <v>3319</v>
      </c>
      <c r="H252" s="121" t="s">
        <v>3280</v>
      </c>
      <c r="I252" s="121"/>
      <c r="J252" s="118"/>
      <c r="K252" s="118"/>
      <c r="L252" s="118"/>
      <c r="M252" s="118"/>
      <c r="N252" s="118"/>
    </row>
    <row r="253" ht="15.75" customHeight="1">
      <c r="A253" s="88">
        <v>250.0</v>
      </c>
      <c r="B253" s="122">
        <v>45707.0</v>
      </c>
      <c r="C253" s="118" t="s">
        <v>1560</v>
      </c>
      <c r="D253" s="118" t="s">
        <v>1561</v>
      </c>
      <c r="E253" s="119" t="s">
        <v>3320</v>
      </c>
      <c r="F253" s="120" t="s">
        <v>3321</v>
      </c>
      <c r="G253" s="121" t="s">
        <v>3322</v>
      </c>
      <c r="H253" s="121" t="s">
        <v>3280</v>
      </c>
      <c r="I253" s="121"/>
      <c r="J253" s="118"/>
      <c r="K253" s="118"/>
      <c r="L253" s="118"/>
      <c r="M253" s="118"/>
      <c r="N253" s="118"/>
    </row>
    <row r="254" ht="15.75" customHeight="1">
      <c r="A254" s="88">
        <v>251.0</v>
      </c>
      <c r="B254" s="122">
        <v>45707.0</v>
      </c>
      <c r="C254" s="118" t="s">
        <v>1563</v>
      </c>
      <c r="D254" s="118" t="s">
        <v>1564</v>
      </c>
      <c r="E254" s="119" t="s">
        <v>3323</v>
      </c>
      <c r="F254" s="120" t="s">
        <v>3324</v>
      </c>
      <c r="G254" s="121" t="s">
        <v>3325</v>
      </c>
      <c r="H254" s="121" t="s">
        <v>3280</v>
      </c>
      <c r="I254" s="121"/>
      <c r="J254" s="118"/>
      <c r="K254" s="118"/>
      <c r="L254" s="118"/>
      <c r="M254" s="118"/>
      <c r="N254" s="118"/>
    </row>
    <row r="255" ht="15.75" customHeight="1">
      <c r="A255" s="88">
        <v>252.0</v>
      </c>
      <c r="B255" s="122">
        <v>45707.0</v>
      </c>
      <c r="C255" s="118" t="s">
        <v>3326</v>
      </c>
      <c r="D255" s="118" t="s">
        <v>1567</v>
      </c>
      <c r="E255" s="119" t="s">
        <v>3327</v>
      </c>
      <c r="F255" s="120" t="s">
        <v>3328</v>
      </c>
      <c r="G255" s="121" t="s">
        <v>3283</v>
      </c>
      <c r="H255" s="121" t="s">
        <v>3280</v>
      </c>
      <c r="I255" s="121"/>
      <c r="J255" s="118"/>
      <c r="K255" s="118"/>
      <c r="L255" s="118"/>
      <c r="M255" s="118"/>
      <c r="N255" s="118"/>
    </row>
    <row r="256" ht="15.75" customHeight="1">
      <c r="A256" s="88">
        <v>253.0</v>
      </c>
      <c r="B256" s="122">
        <v>45708.0</v>
      </c>
      <c r="C256" s="118" t="s">
        <v>116</v>
      </c>
      <c r="D256" s="118" t="s">
        <v>1569</v>
      </c>
      <c r="E256" s="119" t="s">
        <v>3329</v>
      </c>
      <c r="F256" s="120" t="s">
        <v>3330</v>
      </c>
      <c r="G256" s="121" t="s">
        <v>2970</v>
      </c>
      <c r="H256" s="121" t="s">
        <v>3280</v>
      </c>
      <c r="I256" s="121"/>
      <c r="J256" s="118"/>
      <c r="K256" s="118"/>
      <c r="L256" s="118"/>
      <c r="M256" s="118"/>
      <c r="N256" s="118"/>
    </row>
    <row r="257" ht="15.75" customHeight="1">
      <c r="A257" s="88">
        <v>254.0</v>
      </c>
      <c r="B257" s="122">
        <v>45708.0</v>
      </c>
      <c r="C257" s="118" t="s">
        <v>345</v>
      </c>
      <c r="D257" s="118" t="s">
        <v>1571</v>
      </c>
      <c r="E257" s="123" t="s">
        <v>3331</v>
      </c>
      <c r="F257" s="119" t="s">
        <v>3332</v>
      </c>
      <c r="G257" s="121" t="s">
        <v>3283</v>
      </c>
      <c r="H257" s="121" t="s">
        <v>3280</v>
      </c>
      <c r="I257" s="121"/>
      <c r="J257" s="118"/>
      <c r="K257" s="118"/>
      <c r="L257" s="118"/>
      <c r="M257" s="118"/>
      <c r="N257" s="118"/>
    </row>
    <row r="258" ht="15.75" customHeight="1">
      <c r="A258" s="88">
        <v>255.0</v>
      </c>
      <c r="B258" s="122">
        <v>45708.0</v>
      </c>
      <c r="C258" s="118" t="s">
        <v>1037</v>
      </c>
      <c r="D258" s="118" t="s">
        <v>1038</v>
      </c>
      <c r="E258" s="124" t="s">
        <v>3333</v>
      </c>
      <c r="F258" s="120" t="s">
        <v>3148</v>
      </c>
      <c r="G258" s="121" t="s">
        <v>3334</v>
      </c>
      <c r="H258" s="121" t="s">
        <v>3335</v>
      </c>
      <c r="I258" s="121"/>
      <c r="J258" s="118"/>
      <c r="K258" s="118"/>
      <c r="L258" s="118"/>
      <c r="M258" s="118"/>
      <c r="N258" s="118"/>
    </row>
    <row r="259" ht="15.75" customHeight="1">
      <c r="A259" s="88">
        <v>256.0</v>
      </c>
      <c r="B259" s="122">
        <v>45708.0</v>
      </c>
      <c r="C259" s="118" t="s">
        <v>1573</v>
      </c>
      <c r="D259" s="125" t="s">
        <v>1574</v>
      </c>
      <c r="E259" s="124" t="s">
        <v>3336</v>
      </c>
      <c r="F259" s="120" t="s">
        <v>3337</v>
      </c>
      <c r="G259" s="121" t="s">
        <v>2179</v>
      </c>
      <c r="H259" s="121" t="s">
        <v>3335</v>
      </c>
      <c r="I259" s="121"/>
      <c r="J259" s="118"/>
      <c r="K259" s="118"/>
      <c r="L259" s="118"/>
      <c r="M259" s="118"/>
      <c r="N259" s="118"/>
    </row>
    <row r="260" ht="15.75" customHeight="1">
      <c r="A260" s="88">
        <v>257.0</v>
      </c>
      <c r="B260" s="122">
        <v>45709.0</v>
      </c>
      <c r="C260" s="118" t="s">
        <v>1576</v>
      </c>
      <c r="D260" s="118" t="s">
        <v>1577</v>
      </c>
      <c r="E260" s="124" t="s">
        <v>3338</v>
      </c>
      <c r="F260" s="120" t="s">
        <v>3339</v>
      </c>
      <c r="G260" s="121" t="s">
        <v>2179</v>
      </c>
      <c r="H260" s="121" t="s">
        <v>3280</v>
      </c>
      <c r="I260" s="121"/>
      <c r="J260" s="118"/>
      <c r="K260" s="118"/>
      <c r="L260" s="118"/>
      <c r="M260" s="118"/>
      <c r="N260" s="118"/>
    </row>
    <row r="261" ht="15.75" customHeight="1">
      <c r="A261" s="88">
        <v>258.0</v>
      </c>
      <c r="B261" s="122">
        <v>45709.0</v>
      </c>
      <c r="C261" s="118" t="s">
        <v>1579</v>
      </c>
      <c r="D261" s="118" t="s">
        <v>624</v>
      </c>
      <c r="E261" s="124" t="s">
        <v>3340</v>
      </c>
      <c r="F261" s="120" t="s">
        <v>3341</v>
      </c>
      <c r="G261" s="121" t="s">
        <v>3283</v>
      </c>
      <c r="H261" s="121" t="s">
        <v>3316</v>
      </c>
      <c r="I261" s="121"/>
      <c r="J261" s="118"/>
      <c r="K261" s="118"/>
      <c r="L261" s="118"/>
      <c r="M261" s="118"/>
      <c r="N261" s="118"/>
    </row>
    <row r="262" ht="15.75" customHeight="1">
      <c r="A262" s="88">
        <v>259.0</v>
      </c>
      <c r="B262" s="122">
        <v>45709.0</v>
      </c>
      <c r="C262" s="118" t="s">
        <v>3162</v>
      </c>
      <c r="D262" s="118" t="s">
        <v>1948</v>
      </c>
      <c r="E262" s="124" t="s">
        <v>3342</v>
      </c>
      <c r="F262" s="120" t="s">
        <v>3343</v>
      </c>
      <c r="G262" s="121" t="s">
        <v>3344</v>
      </c>
      <c r="H262" s="121" t="s">
        <v>3280</v>
      </c>
      <c r="I262" s="121"/>
      <c r="J262" s="118"/>
      <c r="K262" s="118"/>
      <c r="L262" s="118"/>
      <c r="M262" s="118"/>
      <c r="N262" s="118"/>
    </row>
    <row r="263" ht="15.75" customHeight="1">
      <c r="A263" s="88">
        <v>260.0</v>
      </c>
      <c r="B263" s="122">
        <v>45709.0</v>
      </c>
      <c r="C263" s="126" t="s">
        <v>1582</v>
      </c>
      <c r="D263" s="126" t="s">
        <v>1583</v>
      </c>
      <c r="E263" s="127" t="s">
        <v>3345</v>
      </c>
      <c r="F263" s="128" t="s">
        <v>3346</v>
      </c>
      <c r="G263" s="129" t="s">
        <v>3347</v>
      </c>
      <c r="H263" s="129" t="s">
        <v>3300</v>
      </c>
      <c r="I263" s="121"/>
      <c r="J263" s="118"/>
      <c r="K263" s="118"/>
      <c r="L263" s="118"/>
      <c r="M263" s="118"/>
      <c r="N263" s="118"/>
    </row>
    <row r="264" ht="15.75" customHeight="1">
      <c r="A264" s="88">
        <v>261.0</v>
      </c>
      <c r="B264" s="130">
        <v>45711.0</v>
      </c>
      <c r="C264" s="126" t="s">
        <v>1585</v>
      </c>
      <c r="D264" s="126" t="s">
        <v>1586</v>
      </c>
      <c r="E264" s="127" t="s">
        <v>3348</v>
      </c>
      <c r="F264" s="128" t="s">
        <v>3349</v>
      </c>
      <c r="G264" s="129" t="s">
        <v>3283</v>
      </c>
      <c r="H264" s="129" t="s">
        <v>3280</v>
      </c>
      <c r="I264" s="121"/>
      <c r="J264" s="118"/>
      <c r="K264" s="118"/>
      <c r="L264" s="118"/>
      <c r="M264" s="118"/>
      <c r="N264" s="118"/>
    </row>
    <row r="265" ht="15.75" customHeight="1">
      <c r="A265" s="88">
        <v>262.0</v>
      </c>
      <c r="B265" s="131">
        <v>45712.0</v>
      </c>
      <c r="C265" s="126" t="s">
        <v>3350</v>
      </c>
      <c r="D265" s="126" t="s">
        <v>3351</v>
      </c>
      <c r="E265" s="127" t="s">
        <v>3352</v>
      </c>
      <c r="F265" s="128" t="s">
        <v>3353</v>
      </c>
      <c r="G265" s="129" t="s">
        <v>3279</v>
      </c>
      <c r="H265" s="129" t="s">
        <v>3280</v>
      </c>
      <c r="I265" s="121"/>
      <c r="J265" s="118"/>
      <c r="K265" s="118"/>
      <c r="L265" s="118"/>
      <c r="M265" s="118"/>
      <c r="N265" s="118"/>
    </row>
    <row r="266" ht="15.75" customHeight="1">
      <c r="A266" s="88">
        <v>263.0</v>
      </c>
      <c r="B266" s="131">
        <v>45713.0</v>
      </c>
      <c r="C266" s="126" t="s">
        <v>1591</v>
      </c>
      <c r="D266" s="132" t="s">
        <v>1592</v>
      </c>
      <c r="E266" s="127" t="s">
        <v>3354</v>
      </c>
      <c r="F266" s="128" t="s">
        <v>3355</v>
      </c>
      <c r="G266" s="129" t="s">
        <v>3356</v>
      </c>
      <c r="H266" s="129" t="s">
        <v>3280</v>
      </c>
      <c r="I266" s="121"/>
      <c r="J266" s="118"/>
      <c r="K266" s="118"/>
      <c r="L266" s="118"/>
      <c r="M266" s="118"/>
      <c r="N266" s="118"/>
    </row>
    <row r="267" ht="15.75" customHeight="1">
      <c r="A267" s="88">
        <v>264.0</v>
      </c>
      <c r="B267" s="131">
        <v>45713.0</v>
      </c>
      <c r="C267" s="126" t="s">
        <v>3357</v>
      </c>
      <c r="D267" s="133" t="s">
        <v>3358</v>
      </c>
      <c r="E267" s="127" t="s">
        <v>3359</v>
      </c>
      <c r="F267" s="128" t="s">
        <v>3360</v>
      </c>
      <c r="G267" s="129" t="s">
        <v>3283</v>
      </c>
      <c r="H267" s="129" t="s">
        <v>3280</v>
      </c>
      <c r="I267" s="129"/>
      <c r="J267" s="118"/>
      <c r="K267" s="118"/>
      <c r="L267" s="118"/>
      <c r="M267" s="118"/>
      <c r="N267" s="118"/>
    </row>
    <row r="268" ht="15.75" customHeight="1">
      <c r="A268" s="88">
        <v>265.0</v>
      </c>
      <c r="B268" s="131">
        <v>45713.0</v>
      </c>
      <c r="C268" s="126" t="s">
        <v>1597</v>
      </c>
      <c r="D268" s="133" t="s">
        <v>1598</v>
      </c>
      <c r="E268" s="134">
        <v>4.162941574E9</v>
      </c>
      <c r="F268" s="128" t="s">
        <v>3361</v>
      </c>
      <c r="G268" s="129" t="s">
        <v>3283</v>
      </c>
      <c r="H268" s="129" t="s">
        <v>3300</v>
      </c>
      <c r="I268" s="129"/>
      <c r="J268" s="118"/>
      <c r="K268" s="118"/>
      <c r="L268" s="118"/>
      <c r="M268" s="118"/>
      <c r="N268" s="118"/>
    </row>
    <row r="269" ht="15.75" customHeight="1">
      <c r="A269" s="88">
        <v>266.0</v>
      </c>
      <c r="B269" s="131">
        <v>45714.0</v>
      </c>
      <c r="C269" s="126" t="s">
        <v>1600</v>
      </c>
      <c r="D269" s="133" t="s">
        <v>1601</v>
      </c>
      <c r="E269" s="135" t="s">
        <v>3362</v>
      </c>
      <c r="F269" s="128" t="s">
        <v>3363</v>
      </c>
      <c r="G269" s="136"/>
      <c r="H269" s="129" t="s">
        <v>3280</v>
      </c>
      <c r="I269" s="136"/>
      <c r="J269" s="118"/>
      <c r="K269" s="118"/>
      <c r="L269" s="118"/>
      <c r="M269" s="118"/>
      <c r="N269" s="118"/>
    </row>
    <row r="270" ht="15.75" customHeight="1">
      <c r="A270" s="88">
        <v>267.0</v>
      </c>
      <c r="B270" s="131">
        <v>45715.0</v>
      </c>
      <c r="C270" s="126" t="s">
        <v>1603</v>
      </c>
      <c r="D270" s="133" t="s">
        <v>1604</v>
      </c>
      <c r="E270" s="135" t="s">
        <v>3364</v>
      </c>
      <c r="F270" s="128" t="s">
        <v>3365</v>
      </c>
      <c r="G270" s="129" t="s">
        <v>3366</v>
      </c>
      <c r="H270" s="129" t="s">
        <v>3280</v>
      </c>
      <c r="I270" s="136"/>
      <c r="J270" s="118"/>
      <c r="K270" s="118"/>
      <c r="L270" s="118"/>
      <c r="M270" s="118"/>
      <c r="N270" s="118"/>
    </row>
    <row r="271" ht="15.75" customHeight="1">
      <c r="A271" s="88">
        <v>268.0</v>
      </c>
      <c r="B271" s="131">
        <v>45716.0</v>
      </c>
      <c r="C271" s="132" t="s">
        <v>1606</v>
      </c>
      <c r="D271" s="132" t="s">
        <v>1607</v>
      </c>
      <c r="E271" s="137">
        <v>6.474046168E9</v>
      </c>
      <c r="F271" s="138" t="s">
        <v>3367</v>
      </c>
      <c r="G271" s="129" t="s">
        <v>3283</v>
      </c>
      <c r="H271" s="129" t="s">
        <v>3280</v>
      </c>
      <c r="I271" s="136"/>
      <c r="J271" s="118"/>
      <c r="K271" s="118"/>
      <c r="L271" s="118"/>
      <c r="M271" s="118"/>
      <c r="N271" s="118"/>
    </row>
    <row r="272" ht="15.75" customHeight="1">
      <c r="A272" s="88">
        <v>269.0</v>
      </c>
      <c r="B272" s="131">
        <v>45717.0</v>
      </c>
      <c r="C272" s="133" t="s">
        <v>1609</v>
      </c>
      <c r="D272" s="132" t="s">
        <v>1610</v>
      </c>
      <c r="E272" s="135" t="s">
        <v>3368</v>
      </c>
      <c r="F272" s="139" t="s">
        <v>3369</v>
      </c>
      <c r="G272" s="129" t="s">
        <v>3370</v>
      </c>
      <c r="H272" s="129" t="s">
        <v>3280</v>
      </c>
      <c r="I272" s="136"/>
      <c r="J272" s="118"/>
      <c r="K272" s="118"/>
      <c r="L272" s="118"/>
      <c r="M272" s="118"/>
      <c r="N272" s="118"/>
    </row>
    <row r="273" ht="15.75" customHeight="1">
      <c r="A273" s="88">
        <v>270.0</v>
      </c>
      <c r="B273" s="140">
        <v>45718.0</v>
      </c>
      <c r="C273" s="141" t="s">
        <v>1612</v>
      </c>
      <c r="D273" s="132" t="s">
        <v>1613</v>
      </c>
      <c r="E273" s="134">
        <v>4.379977701E9</v>
      </c>
      <c r="F273" s="139" t="s">
        <v>3371</v>
      </c>
      <c r="G273" s="129" t="s">
        <v>2970</v>
      </c>
      <c r="H273" s="129" t="s">
        <v>3280</v>
      </c>
      <c r="I273" s="136"/>
      <c r="J273" s="118"/>
      <c r="K273" s="118"/>
      <c r="L273" s="118"/>
      <c r="M273" s="118"/>
      <c r="N273" s="118"/>
    </row>
    <row r="274" ht="15.75" customHeight="1">
      <c r="A274" s="88">
        <v>271.0</v>
      </c>
      <c r="B274" s="140">
        <v>45718.0</v>
      </c>
      <c r="C274" s="132" t="s">
        <v>1615</v>
      </c>
      <c r="D274" s="133" t="s">
        <v>1616</v>
      </c>
      <c r="E274" s="134">
        <v>6.478034417E9</v>
      </c>
      <c r="F274" s="139" t="s">
        <v>3372</v>
      </c>
      <c r="G274" s="129" t="s">
        <v>3286</v>
      </c>
      <c r="H274" s="129" t="s">
        <v>3335</v>
      </c>
      <c r="I274" s="136"/>
      <c r="J274" s="118"/>
      <c r="K274" s="118"/>
      <c r="L274" s="118"/>
      <c r="M274" s="118"/>
      <c r="N274" s="118"/>
    </row>
    <row r="275" ht="15.75" customHeight="1">
      <c r="A275" s="88">
        <v>272.0</v>
      </c>
      <c r="B275" s="140">
        <v>45718.0</v>
      </c>
      <c r="C275" s="141" t="s">
        <v>1618</v>
      </c>
      <c r="D275" s="133" t="s">
        <v>1619</v>
      </c>
      <c r="E275" s="134">
        <v>7.059708786E9</v>
      </c>
      <c r="F275" s="139" t="s">
        <v>3373</v>
      </c>
      <c r="G275" s="129" t="s">
        <v>3374</v>
      </c>
      <c r="H275" s="129" t="s">
        <v>3280</v>
      </c>
      <c r="I275" s="136"/>
      <c r="J275" s="118"/>
      <c r="K275" s="118"/>
      <c r="L275" s="118"/>
      <c r="M275" s="118"/>
      <c r="N275" s="118"/>
    </row>
    <row r="276" ht="15.75" customHeight="1">
      <c r="A276" s="88">
        <v>273.0</v>
      </c>
      <c r="B276" s="140">
        <v>45721.0</v>
      </c>
      <c r="C276" s="132" t="s">
        <v>1621</v>
      </c>
      <c r="D276" s="133" t="s">
        <v>1622</v>
      </c>
      <c r="E276" s="134">
        <v>6.043355887E9</v>
      </c>
      <c r="F276" s="139" t="s">
        <v>3375</v>
      </c>
      <c r="G276" s="142" t="s">
        <v>3376</v>
      </c>
      <c r="H276" s="129" t="s">
        <v>3280</v>
      </c>
      <c r="I276" s="129"/>
      <c r="J276" s="118"/>
      <c r="K276" s="118"/>
      <c r="L276" s="118"/>
      <c r="M276" s="118"/>
      <c r="N276" s="118"/>
    </row>
    <row r="277" ht="15.75" customHeight="1">
      <c r="A277" s="88">
        <v>274.0</v>
      </c>
      <c r="B277" s="140">
        <v>45721.0</v>
      </c>
      <c r="C277" s="133" t="s">
        <v>428</v>
      </c>
      <c r="D277" s="141" t="s">
        <v>1624</v>
      </c>
      <c r="E277" s="134">
        <v>4.169170701E9</v>
      </c>
      <c r="F277" s="139" t="s">
        <v>3377</v>
      </c>
      <c r="G277" s="143" t="s">
        <v>3374</v>
      </c>
      <c r="H277" s="129" t="s">
        <v>3316</v>
      </c>
      <c r="I277" s="136"/>
      <c r="J277" s="118"/>
      <c r="K277" s="118"/>
      <c r="L277" s="118"/>
      <c r="M277" s="118"/>
      <c r="N277" s="118"/>
    </row>
    <row r="278" ht="15.75" customHeight="1">
      <c r="A278" s="88">
        <v>275.0</v>
      </c>
      <c r="B278" s="140">
        <v>45722.0</v>
      </c>
      <c r="C278" s="133" t="s">
        <v>1626</v>
      </c>
      <c r="D278" s="132" t="s">
        <v>1627</v>
      </c>
      <c r="E278" s="134">
        <v>5.198687314E9</v>
      </c>
      <c r="F278" s="139" t="s">
        <v>3378</v>
      </c>
      <c r="G278" s="143" t="s">
        <v>3379</v>
      </c>
      <c r="H278" s="129" t="s">
        <v>3316</v>
      </c>
      <c r="I278" s="136"/>
      <c r="J278" s="118"/>
      <c r="K278" s="118"/>
      <c r="L278" s="118"/>
      <c r="M278" s="118"/>
      <c r="N278" s="118"/>
    </row>
    <row r="279" ht="15.75" customHeight="1">
      <c r="A279" s="88">
        <v>276.0</v>
      </c>
      <c r="B279" s="140">
        <v>45722.0</v>
      </c>
      <c r="C279" s="141" t="s">
        <v>1629</v>
      </c>
      <c r="D279" s="133" t="s">
        <v>1630</v>
      </c>
      <c r="E279" s="134">
        <v>2.263320181E9</v>
      </c>
      <c r="F279" s="139" t="s">
        <v>3380</v>
      </c>
      <c r="G279" s="143" t="s">
        <v>3381</v>
      </c>
      <c r="H279" s="129" t="s">
        <v>3280</v>
      </c>
      <c r="I279" s="129"/>
      <c r="J279" s="118"/>
      <c r="K279" s="118"/>
      <c r="L279" s="118"/>
      <c r="M279" s="118"/>
      <c r="N279" s="118"/>
    </row>
    <row r="280" ht="15.75" customHeight="1">
      <c r="A280" s="88">
        <v>277.0</v>
      </c>
      <c r="B280" s="140">
        <v>45723.0</v>
      </c>
      <c r="C280" s="141" t="s">
        <v>1632</v>
      </c>
      <c r="D280" s="133" t="s">
        <v>1633</v>
      </c>
      <c r="E280" s="134">
        <v>6.477028918E9</v>
      </c>
      <c r="F280" s="139" t="s">
        <v>3382</v>
      </c>
      <c r="G280" s="143" t="s">
        <v>3383</v>
      </c>
      <c r="H280" s="129" t="s">
        <v>3280</v>
      </c>
      <c r="I280" s="136"/>
      <c r="J280" s="118"/>
      <c r="K280" s="118"/>
      <c r="L280" s="118"/>
      <c r="M280" s="118"/>
      <c r="N280" s="118"/>
    </row>
    <row r="281" ht="15.75" customHeight="1">
      <c r="A281" s="88">
        <v>278.0</v>
      </c>
      <c r="B281" s="140">
        <v>45723.0</v>
      </c>
      <c r="C281" s="141" t="s">
        <v>1635</v>
      </c>
      <c r="D281" s="132" t="s">
        <v>1636</v>
      </c>
      <c r="E281" s="134">
        <v>4.167869209E9</v>
      </c>
      <c r="F281" s="139" t="s">
        <v>3384</v>
      </c>
      <c r="G281" s="143" t="s">
        <v>3283</v>
      </c>
      <c r="H281" s="129" t="s">
        <v>3316</v>
      </c>
      <c r="I281" s="136"/>
      <c r="J281" s="118"/>
      <c r="K281" s="118"/>
      <c r="L281" s="118"/>
      <c r="M281" s="118"/>
      <c r="N281" s="118"/>
    </row>
    <row r="282" ht="15.75" customHeight="1">
      <c r="A282" s="88">
        <v>279.0</v>
      </c>
      <c r="B282" s="140">
        <v>45723.0</v>
      </c>
      <c r="C282" s="141" t="s">
        <v>1638</v>
      </c>
      <c r="D282" s="132" t="s">
        <v>1639</v>
      </c>
      <c r="E282" s="134">
        <v>4.168308172E9</v>
      </c>
      <c r="F282" s="139" t="s">
        <v>3385</v>
      </c>
      <c r="G282" s="143" t="s">
        <v>3283</v>
      </c>
      <c r="H282" s="129" t="s">
        <v>3280</v>
      </c>
      <c r="I282" s="136"/>
      <c r="J282" s="118"/>
      <c r="K282" s="118"/>
      <c r="L282" s="118"/>
      <c r="M282" s="118"/>
      <c r="N282" s="118"/>
    </row>
    <row r="283" ht="15.75" customHeight="1">
      <c r="A283" s="88">
        <v>280.0</v>
      </c>
      <c r="B283" s="140">
        <v>45725.0</v>
      </c>
      <c r="C283" s="141" t="s">
        <v>1644</v>
      </c>
      <c r="D283" s="133" t="s">
        <v>1645</v>
      </c>
      <c r="E283" s="134">
        <v>8.07356146E9</v>
      </c>
      <c r="F283" s="139" t="s">
        <v>3386</v>
      </c>
      <c r="G283" s="143" t="s">
        <v>3322</v>
      </c>
      <c r="H283" s="129" t="s">
        <v>3280</v>
      </c>
      <c r="I283" s="136"/>
      <c r="J283" s="118"/>
      <c r="K283" s="118"/>
      <c r="L283" s="118"/>
      <c r="M283" s="118"/>
      <c r="N283" s="118"/>
    </row>
    <row r="284" ht="15.75" customHeight="1">
      <c r="A284" s="88">
        <v>281.0</v>
      </c>
      <c r="B284" s="140">
        <v>45725.0</v>
      </c>
      <c r="C284" s="141" t="s">
        <v>989</v>
      </c>
      <c r="D284" s="132" t="s">
        <v>1647</v>
      </c>
      <c r="E284" s="134">
        <v>6.478311121E9</v>
      </c>
      <c r="F284" s="139" t="s">
        <v>3387</v>
      </c>
      <c r="G284" s="143" t="s">
        <v>3383</v>
      </c>
      <c r="H284" s="129" t="s">
        <v>3280</v>
      </c>
      <c r="I284" s="136"/>
      <c r="J284" s="118"/>
      <c r="K284" s="118"/>
      <c r="L284" s="118"/>
      <c r="M284" s="118"/>
      <c r="N284" s="118"/>
    </row>
    <row r="285" ht="15.75" customHeight="1">
      <c r="A285" s="88">
        <v>282.0</v>
      </c>
      <c r="B285" s="140">
        <v>45725.0</v>
      </c>
      <c r="C285" s="141" t="s">
        <v>1641</v>
      </c>
      <c r="D285" s="133" t="s">
        <v>1642</v>
      </c>
      <c r="E285" s="134">
        <v>4.16821859E9</v>
      </c>
      <c r="F285" s="139" t="s">
        <v>3388</v>
      </c>
      <c r="G285" s="143" t="s">
        <v>3299</v>
      </c>
      <c r="H285" s="136"/>
      <c r="I285" s="136"/>
      <c r="J285" s="118"/>
      <c r="K285" s="118"/>
      <c r="L285" s="118"/>
      <c r="M285" s="118"/>
      <c r="N285" s="118"/>
    </row>
    <row r="286" ht="15.75" customHeight="1">
      <c r="A286" s="88">
        <v>283.0</v>
      </c>
      <c r="B286" s="140">
        <v>45726.0</v>
      </c>
      <c r="C286" s="141" t="s">
        <v>3389</v>
      </c>
      <c r="D286" s="132" t="s">
        <v>1954</v>
      </c>
      <c r="E286" s="137" t="s">
        <v>3390</v>
      </c>
      <c r="F286" s="139" t="s">
        <v>3391</v>
      </c>
      <c r="G286" s="144"/>
      <c r="H286" s="129" t="s">
        <v>3300</v>
      </c>
      <c r="I286" s="136"/>
      <c r="J286" s="118"/>
      <c r="K286" s="118"/>
      <c r="L286" s="118"/>
      <c r="M286" s="118"/>
      <c r="N286" s="118"/>
    </row>
    <row r="287" ht="15.75" customHeight="1">
      <c r="A287" s="88">
        <v>284.0</v>
      </c>
      <c r="B287" s="140">
        <v>45726.0</v>
      </c>
      <c r="C287" s="141" t="s">
        <v>3392</v>
      </c>
      <c r="D287" s="133" t="s">
        <v>624</v>
      </c>
      <c r="E287" s="134">
        <v>4.376061746E9</v>
      </c>
      <c r="F287" s="139" t="s">
        <v>3393</v>
      </c>
      <c r="G287" s="143" t="s">
        <v>3394</v>
      </c>
      <c r="H287" s="129" t="s">
        <v>3335</v>
      </c>
      <c r="I287" s="136"/>
      <c r="J287" s="118"/>
      <c r="K287" s="118"/>
      <c r="L287" s="118"/>
      <c r="M287" s="118"/>
      <c r="N287" s="118"/>
    </row>
    <row r="288" ht="15.75" customHeight="1">
      <c r="A288" s="88">
        <v>285.0</v>
      </c>
      <c r="B288" s="140">
        <v>45727.0</v>
      </c>
      <c r="C288" s="141" t="s">
        <v>1295</v>
      </c>
      <c r="D288" s="133" t="s">
        <v>1296</v>
      </c>
      <c r="E288" s="134">
        <v>7.05500152E9</v>
      </c>
      <c r="F288" s="139" t="s">
        <v>3256</v>
      </c>
      <c r="G288" s="143" t="s">
        <v>2132</v>
      </c>
      <c r="H288" s="129" t="s">
        <v>3280</v>
      </c>
      <c r="I288" s="136"/>
      <c r="J288" s="118"/>
      <c r="K288" s="118"/>
      <c r="L288" s="118"/>
      <c r="M288" s="118"/>
      <c r="N288" s="118"/>
    </row>
    <row r="289" ht="15.75" customHeight="1">
      <c r="A289" s="88">
        <v>286.0</v>
      </c>
      <c r="B289" s="140">
        <v>45728.0</v>
      </c>
      <c r="C289" s="141" t="s">
        <v>3395</v>
      </c>
      <c r="D289" s="133" t="s">
        <v>3396</v>
      </c>
      <c r="E289" s="134">
        <v>4.164551282E9</v>
      </c>
      <c r="F289" s="139" t="s">
        <v>3397</v>
      </c>
      <c r="G289" s="143" t="s">
        <v>3374</v>
      </c>
      <c r="H289" s="129" t="s">
        <v>3335</v>
      </c>
      <c r="I289" s="129"/>
      <c r="J289" s="118"/>
      <c r="K289" s="118"/>
      <c r="L289" s="118"/>
      <c r="M289" s="118"/>
      <c r="N289" s="118"/>
    </row>
    <row r="290" ht="15.75" customHeight="1">
      <c r="A290" s="88">
        <v>287.0</v>
      </c>
      <c r="B290" s="140">
        <v>45729.0</v>
      </c>
      <c r="C290" s="141" t="s">
        <v>2850</v>
      </c>
      <c r="D290" s="133" t="s">
        <v>3398</v>
      </c>
      <c r="E290" s="134">
        <v>2.269277523E9</v>
      </c>
      <c r="F290" s="139" t="s">
        <v>3399</v>
      </c>
      <c r="G290" s="143" t="s">
        <v>3379</v>
      </c>
      <c r="H290" s="129" t="s">
        <v>3280</v>
      </c>
      <c r="I290" s="136"/>
      <c r="J290" s="118"/>
      <c r="K290" s="118"/>
      <c r="L290" s="118"/>
      <c r="M290" s="118"/>
      <c r="N290" s="118"/>
    </row>
    <row r="291" ht="15.75" customHeight="1">
      <c r="A291" s="88">
        <v>288.0</v>
      </c>
      <c r="B291" s="140">
        <v>45729.0</v>
      </c>
      <c r="C291" s="141" t="s">
        <v>3400</v>
      </c>
      <c r="D291" s="133" t="s">
        <v>3401</v>
      </c>
      <c r="E291" s="134">
        <v>6.478244004E9</v>
      </c>
      <c r="F291" s="139" t="s">
        <v>3402</v>
      </c>
      <c r="G291" s="143" t="s">
        <v>3295</v>
      </c>
      <c r="H291" s="129" t="s">
        <v>3280</v>
      </c>
      <c r="I291" s="129"/>
      <c r="J291" s="118"/>
      <c r="K291" s="118"/>
      <c r="L291" s="118"/>
      <c r="M291" s="118"/>
      <c r="N291" s="118"/>
    </row>
    <row r="292" ht="15.75" customHeight="1">
      <c r="A292" s="88">
        <v>289.0</v>
      </c>
      <c r="B292" s="140">
        <v>45730.0</v>
      </c>
      <c r="C292" s="141" t="s">
        <v>3403</v>
      </c>
      <c r="D292" s="133" t="s">
        <v>449</v>
      </c>
      <c r="E292" s="145" t="s">
        <v>3404</v>
      </c>
      <c r="F292" s="139" t="s">
        <v>3405</v>
      </c>
      <c r="G292" s="144"/>
      <c r="H292" s="136"/>
      <c r="I292" s="129"/>
      <c r="J292" s="132"/>
      <c r="K292" s="118"/>
      <c r="L292" s="118"/>
      <c r="M292" s="118"/>
      <c r="N292" s="118"/>
    </row>
    <row r="293" ht="15.75" customHeight="1">
      <c r="A293" s="88">
        <v>290.0</v>
      </c>
      <c r="B293" s="140">
        <v>45730.0</v>
      </c>
      <c r="C293" s="146" t="s">
        <v>3406</v>
      </c>
      <c r="D293" s="146" t="s">
        <v>3407</v>
      </c>
      <c r="E293" s="147">
        <v>3.653381744E9</v>
      </c>
      <c r="F293" s="148" t="s">
        <v>3408</v>
      </c>
      <c r="G293" s="144"/>
      <c r="H293" s="136"/>
      <c r="I293" s="129"/>
      <c r="J293" s="132"/>
      <c r="K293" s="118"/>
      <c r="L293" s="118"/>
      <c r="M293" s="118"/>
      <c r="N293" s="118"/>
    </row>
    <row r="294" ht="15.75" customHeight="1">
      <c r="A294" s="88">
        <v>291.0</v>
      </c>
      <c r="B294" s="140">
        <v>45730.0</v>
      </c>
      <c r="C294" s="146" t="s">
        <v>3409</v>
      </c>
      <c r="D294" s="146" t="s">
        <v>3410</v>
      </c>
      <c r="E294" s="147" t="s">
        <v>3411</v>
      </c>
      <c r="F294" s="148" t="s">
        <v>3412</v>
      </c>
      <c r="G294" s="144"/>
      <c r="H294" s="136"/>
      <c r="I294" s="129"/>
      <c r="J294" s="133"/>
      <c r="K294" s="118"/>
      <c r="L294" s="118"/>
      <c r="M294" s="118"/>
      <c r="N294" s="118"/>
    </row>
    <row r="295" ht="15.75" customHeight="1">
      <c r="A295" s="88">
        <v>292.0</v>
      </c>
      <c r="B295" s="140">
        <v>45731.0</v>
      </c>
      <c r="C295" s="146" t="s">
        <v>3413</v>
      </c>
      <c r="D295" s="146" t="s">
        <v>3414</v>
      </c>
      <c r="E295" s="147">
        <v>4.165543218E9</v>
      </c>
      <c r="F295" s="148" t="s">
        <v>3415</v>
      </c>
      <c r="G295" s="144"/>
      <c r="H295" s="136"/>
      <c r="I295" s="129"/>
      <c r="J295" s="149"/>
      <c r="K295" s="118"/>
      <c r="L295" s="118"/>
      <c r="M295" s="118"/>
      <c r="N295" s="118"/>
    </row>
    <row r="296" ht="15.75" customHeight="1">
      <c r="A296" s="88">
        <v>293.0</v>
      </c>
      <c r="B296" s="140">
        <v>45732.0</v>
      </c>
      <c r="C296" s="150" t="s">
        <v>3416</v>
      </c>
      <c r="D296" s="150" t="s">
        <v>428</v>
      </c>
      <c r="E296" s="134">
        <v>4.375598215E9</v>
      </c>
      <c r="F296" s="151" t="s">
        <v>3417</v>
      </c>
      <c r="G296" s="143" t="s">
        <v>3383</v>
      </c>
      <c r="H296" s="129" t="s">
        <v>3280</v>
      </c>
      <c r="I296" s="136"/>
      <c r="J296" s="132"/>
      <c r="K296" s="118"/>
      <c r="L296" s="118"/>
      <c r="M296" s="118"/>
      <c r="N296" s="118"/>
    </row>
    <row r="297" ht="15.75" customHeight="1">
      <c r="A297" s="88">
        <v>294.0</v>
      </c>
      <c r="B297" s="140">
        <v>45732.0</v>
      </c>
      <c r="C297" s="150" t="s">
        <v>3418</v>
      </c>
      <c r="D297" s="150" t="s">
        <v>3419</v>
      </c>
      <c r="E297" s="134">
        <v>6.477860295E9</v>
      </c>
      <c r="F297" s="151" t="s">
        <v>3420</v>
      </c>
      <c r="G297" s="143" t="s">
        <v>3394</v>
      </c>
      <c r="H297" s="129" t="s">
        <v>3280</v>
      </c>
      <c r="I297" s="136"/>
      <c r="J297" s="132"/>
      <c r="K297" s="118"/>
      <c r="L297" s="118"/>
      <c r="M297" s="118"/>
      <c r="N297" s="118"/>
    </row>
    <row r="298" ht="15.75" customHeight="1">
      <c r="A298" s="88">
        <v>295.0</v>
      </c>
      <c r="B298" s="140">
        <v>45732.0</v>
      </c>
      <c r="C298" s="152" t="s">
        <v>3410</v>
      </c>
      <c r="D298" s="132" t="s">
        <v>3409</v>
      </c>
      <c r="E298" s="134" t="s">
        <v>3411</v>
      </c>
      <c r="F298" s="151" t="s">
        <v>3421</v>
      </c>
      <c r="G298" s="143" t="s">
        <v>3422</v>
      </c>
      <c r="H298" s="129" t="s">
        <v>3280</v>
      </c>
      <c r="I298" s="136"/>
      <c r="J298" s="132"/>
      <c r="K298" s="118"/>
      <c r="L298" s="118"/>
      <c r="M298" s="118"/>
      <c r="N298" s="118"/>
    </row>
    <row r="299" ht="15.75" customHeight="1">
      <c r="A299" s="88">
        <v>296.0</v>
      </c>
      <c r="B299" s="140">
        <v>45732.0</v>
      </c>
      <c r="C299" s="152" t="s">
        <v>3423</v>
      </c>
      <c r="D299" s="133" t="s">
        <v>2580</v>
      </c>
      <c r="E299" s="134">
        <v>4.378582618E9</v>
      </c>
      <c r="F299" s="151" t="s">
        <v>3424</v>
      </c>
      <c r="G299" s="143" t="s">
        <v>3295</v>
      </c>
      <c r="H299" s="129" t="s">
        <v>3280</v>
      </c>
      <c r="I299" s="129"/>
      <c r="J299" s="132"/>
      <c r="K299" s="118"/>
      <c r="L299" s="118"/>
      <c r="M299" s="118"/>
      <c r="N299" s="118"/>
    </row>
    <row r="300" ht="15.75" customHeight="1">
      <c r="A300" s="88">
        <v>297.0</v>
      </c>
      <c r="B300" s="140">
        <v>45732.0</v>
      </c>
      <c r="C300" s="152" t="s">
        <v>3425</v>
      </c>
      <c r="D300" s="133" t="s">
        <v>3426</v>
      </c>
      <c r="E300" s="134">
        <v>6.474620197E9</v>
      </c>
      <c r="F300" s="151" t="s">
        <v>3427</v>
      </c>
      <c r="G300" s="143" t="s">
        <v>3299</v>
      </c>
      <c r="H300" s="129" t="s">
        <v>3280</v>
      </c>
      <c r="I300" s="136"/>
      <c r="J300" s="132"/>
      <c r="K300" s="118"/>
      <c r="L300" s="118"/>
      <c r="M300" s="118"/>
      <c r="N300" s="118"/>
    </row>
    <row r="301" ht="15.75" customHeight="1">
      <c r="A301" s="88">
        <v>298.0</v>
      </c>
      <c r="B301" s="140">
        <v>45732.0</v>
      </c>
      <c r="C301" s="152" t="s">
        <v>3428</v>
      </c>
      <c r="D301" s="133" t="s">
        <v>3429</v>
      </c>
      <c r="E301" s="134">
        <v>4.167120578E9</v>
      </c>
      <c r="F301" s="151" t="s">
        <v>3430</v>
      </c>
      <c r="G301" s="143" t="s">
        <v>3374</v>
      </c>
      <c r="H301" s="129" t="s">
        <v>3335</v>
      </c>
      <c r="I301" s="136"/>
      <c r="J301" s="153"/>
      <c r="K301" s="118"/>
      <c r="L301" s="118"/>
      <c r="M301" s="118"/>
      <c r="N301" s="118"/>
    </row>
    <row r="302" ht="15.75" customHeight="1">
      <c r="A302" s="88">
        <v>299.0</v>
      </c>
      <c r="B302" s="140">
        <v>45733.0</v>
      </c>
      <c r="C302" s="152" t="s">
        <v>3431</v>
      </c>
      <c r="D302" s="133" t="s">
        <v>3432</v>
      </c>
      <c r="E302" s="134">
        <v>6.477722724E9</v>
      </c>
      <c r="F302" s="151" t="s">
        <v>3433</v>
      </c>
      <c r="G302" s="143" t="s">
        <v>3283</v>
      </c>
      <c r="H302" s="129" t="s">
        <v>3280</v>
      </c>
      <c r="I302" s="136"/>
      <c r="J302" s="153"/>
      <c r="K302" s="118"/>
      <c r="L302" s="118"/>
      <c r="M302" s="118"/>
      <c r="N302" s="118"/>
    </row>
    <row r="303" ht="15.75" customHeight="1">
      <c r="A303" s="88">
        <v>300.0</v>
      </c>
      <c r="B303" s="140">
        <v>45734.0</v>
      </c>
      <c r="C303" s="152" t="s">
        <v>3434</v>
      </c>
      <c r="D303" s="132" t="s">
        <v>3435</v>
      </c>
      <c r="E303" s="134">
        <v>2.892007359E9</v>
      </c>
      <c r="F303" s="151" t="s">
        <v>3436</v>
      </c>
      <c r="G303" s="143" t="s">
        <v>3374</v>
      </c>
      <c r="H303" s="129" t="s">
        <v>3300</v>
      </c>
      <c r="I303" s="136"/>
      <c r="J303" s="153"/>
      <c r="K303" s="118"/>
      <c r="L303" s="118"/>
      <c r="M303" s="118"/>
      <c r="N303" s="118"/>
    </row>
    <row r="304" ht="15.75" customHeight="1">
      <c r="A304" s="88">
        <v>301.0</v>
      </c>
      <c r="B304" s="140">
        <v>45734.0</v>
      </c>
      <c r="C304" s="152" t="s">
        <v>1150</v>
      </c>
      <c r="D304" s="133" t="s">
        <v>3437</v>
      </c>
      <c r="E304" s="134">
        <v>9.052601457E9</v>
      </c>
      <c r="F304" s="151" t="s">
        <v>3438</v>
      </c>
      <c r="G304" s="143" t="s">
        <v>3286</v>
      </c>
      <c r="H304" s="129" t="s">
        <v>3335</v>
      </c>
      <c r="I304" s="129"/>
      <c r="J304" s="153"/>
      <c r="K304" s="118"/>
      <c r="L304" s="118"/>
      <c r="M304" s="118"/>
      <c r="N304" s="118"/>
    </row>
    <row r="305" ht="15.75" customHeight="1">
      <c r="A305" s="88">
        <v>302.0</v>
      </c>
      <c r="B305" s="140">
        <v>45736.0</v>
      </c>
      <c r="C305" s="152" t="s">
        <v>1290</v>
      </c>
      <c r="D305" s="132" t="s">
        <v>3439</v>
      </c>
      <c r="E305" s="134">
        <v>6.479159749E9</v>
      </c>
      <c r="F305" s="151" t="s">
        <v>3440</v>
      </c>
      <c r="G305" s="143" t="s">
        <v>3374</v>
      </c>
      <c r="H305" s="129" t="s">
        <v>3300</v>
      </c>
      <c r="I305" s="136"/>
      <c r="J305" s="132"/>
      <c r="K305" s="118"/>
      <c r="L305" s="118"/>
      <c r="M305" s="118"/>
      <c r="N305" s="118"/>
    </row>
    <row r="306" ht="15.75" customHeight="1">
      <c r="A306" s="88">
        <v>303.0</v>
      </c>
      <c r="B306" s="140">
        <v>45736.0</v>
      </c>
      <c r="C306" s="132" t="s">
        <v>3441</v>
      </c>
      <c r="D306" s="132" t="s">
        <v>3442</v>
      </c>
      <c r="E306" s="134">
        <v>6.477796804E9</v>
      </c>
      <c r="F306" s="148" t="s">
        <v>3443</v>
      </c>
      <c r="G306" s="143" t="s">
        <v>3370</v>
      </c>
      <c r="H306" s="129" t="s">
        <v>3280</v>
      </c>
      <c r="I306" s="136"/>
      <c r="J306" s="132"/>
      <c r="K306" s="118"/>
      <c r="L306" s="118"/>
      <c r="M306" s="118"/>
      <c r="N306" s="118"/>
    </row>
    <row r="307" ht="15.75" customHeight="1">
      <c r="A307" s="88">
        <v>304.0</v>
      </c>
      <c r="B307" s="140">
        <v>45737.0</v>
      </c>
      <c r="C307" s="132" t="s">
        <v>1995</v>
      </c>
      <c r="D307" s="132" t="s">
        <v>1996</v>
      </c>
      <c r="E307" s="134">
        <v>7.054987809E9</v>
      </c>
      <c r="F307" s="154" t="s">
        <v>3444</v>
      </c>
      <c r="G307" s="142" t="s">
        <v>3445</v>
      </c>
      <c r="H307" s="129" t="s">
        <v>3300</v>
      </c>
      <c r="I307" s="136"/>
      <c r="J307" s="155"/>
      <c r="K307" s="118"/>
      <c r="L307" s="118"/>
      <c r="M307" s="118"/>
      <c r="N307" s="118"/>
    </row>
    <row r="308" ht="15.75" customHeight="1">
      <c r="A308" s="88">
        <v>305.0</v>
      </c>
      <c r="B308" s="140">
        <v>45737.0</v>
      </c>
      <c r="C308" s="141" t="s">
        <v>2047</v>
      </c>
      <c r="D308" s="133" t="s">
        <v>3446</v>
      </c>
      <c r="E308" s="134">
        <v>5.065300358E9</v>
      </c>
      <c r="F308" s="151" t="s">
        <v>3447</v>
      </c>
      <c r="G308" s="142" t="s">
        <v>3448</v>
      </c>
      <c r="H308" s="129" t="s">
        <v>3280</v>
      </c>
      <c r="I308" s="136"/>
      <c r="J308" s="132"/>
      <c r="K308" s="118"/>
      <c r="L308" s="118"/>
      <c r="M308" s="118"/>
      <c r="N308" s="118"/>
    </row>
    <row r="309" ht="15.75" customHeight="1">
      <c r="A309" s="88">
        <v>306.0</v>
      </c>
      <c r="B309" s="140">
        <v>45743.0</v>
      </c>
      <c r="C309" s="141" t="s">
        <v>3449</v>
      </c>
      <c r="D309" s="132" t="s">
        <v>3450</v>
      </c>
      <c r="E309" s="134">
        <v>9.080982333E9</v>
      </c>
      <c r="F309" s="151" t="s">
        <v>3451</v>
      </c>
      <c r="G309" s="143" t="s">
        <v>3283</v>
      </c>
      <c r="H309" s="129" t="s">
        <v>3280</v>
      </c>
      <c r="I309" s="136"/>
      <c r="J309" s="156"/>
      <c r="K309" s="118"/>
      <c r="L309" s="118"/>
      <c r="M309" s="118"/>
      <c r="N309" s="118"/>
    </row>
    <row r="310" ht="15.75" customHeight="1">
      <c r="A310" s="88">
        <v>307.0</v>
      </c>
      <c r="B310" s="140">
        <v>45745.0</v>
      </c>
      <c r="C310" s="141" t="s">
        <v>3452</v>
      </c>
      <c r="D310" s="132" t="s">
        <v>3453</v>
      </c>
      <c r="E310" s="134">
        <v>4.168457362E9</v>
      </c>
      <c r="F310" s="151" t="s">
        <v>3454</v>
      </c>
      <c r="G310" s="143" t="s">
        <v>3383</v>
      </c>
      <c r="H310" s="129" t="s">
        <v>3280</v>
      </c>
      <c r="I310" s="136"/>
      <c r="J310" s="132"/>
      <c r="K310" s="118"/>
      <c r="L310" s="118"/>
      <c r="M310" s="118"/>
      <c r="N310" s="118"/>
    </row>
    <row r="311" ht="15.75" customHeight="1">
      <c r="A311" s="88">
        <v>308.0</v>
      </c>
      <c r="B311" s="140">
        <v>45745.0</v>
      </c>
      <c r="C311" s="141" t="s">
        <v>71</v>
      </c>
      <c r="D311" s="157" t="s">
        <v>3455</v>
      </c>
      <c r="E311" s="134">
        <v>6.476888173E9</v>
      </c>
      <c r="F311" s="151" t="s">
        <v>3456</v>
      </c>
      <c r="G311" s="143" t="s">
        <v>3289</v>
      </c>
      <c r="H311" s="129" t="s">
        <v>3335</v>
      </c>
      <c r="I311" s="129"/>
      <c r="J311" s="132"/>
      <c r="K311" s="118"/>
      <c r="L311" s="118"/>
      <c r="M311" s="118"/>
      <c r="N311" s="118"/>
    </row>
    <row r="312" ht="15.75" customHeight="1">
      <c r="A312" s="88">
        <v>309.0</v>
      </c>
      <c r="B312" s="140">
        <v>45746.0</v>
      </c>
      <c r="C312" s="141" t="s">
        <v>3457</v>
      </c>
      <c r="D312" s="158" t="s">
        <v>2854</v>
      </c>
      <c r="E312" s="134">
        <v>4.377756404E9</v>
      </c>
      <c r="F312" s="151" t="s">
        <v>3458</v>
      </c>
      <c r="G312" s="143" t="s">
        <v>3286</v>
      </c>
      <c r="H312" s="129" t="s">
        <v>3280</v>
      </c>
      <c r="I312" s="136"/>
      <c r="J312" s="156"/>
      <c r="K312" s="118"/>
      <c r="L312" s="118"/>
      <c r="M312" s="118"/>
      <c r="N312" s="118"/>
    </row>
    <row r="313" ht="15.75" customHeight="1">
      <c r="A313" s="88">
        <v>310.0</v>
      </c>
      <c r="B313" s="140">
        <v>45746.0</v>
      </c>
      <c r="C313" s="141" t="s">
        <v>3459</v>
      </c>
      <c r="D313" s="132" t="s">
        <v>3460</v>
      </c>
      <c r="E313" s="159">
        <v>6.046189889E9</v>
      </c>
      <c r="F313" s="151" t="s">
        <v>3461</v>
      </c>
      <c r="G313" s="143" t="s">
        <v>3283</v>
      </c>
      <c r="H313" s="129" t="s">
        <v>3280</v>
      </c>
      <c r="I313" s="129"/>
      <c r="J313" s="156"/>
      <c r="K313" s="118"/>
      <c r="L313" s="118"/>
      <c r="M313" s="118"/>
      <c r="N313" s="118"/>
    </row>
    <row r="314" ht="15.75" customHeight="1">
      <c r="A314" s="88">
        <v>311.0</v>
      </c>
      <c r="B314" s="140">
        <v>45746.0</v>
      </c>
      <c r="C314" s="141" t="s">
        <v>3462</v>
      </c>
      <c r="D314" s="133" t="s">
        <v>753</v>
      </c>
      <c r="E314" s="159">
        <v>2.898890518E9</v>
      </c>
      <c r="F314" s="151" t="s">
        <v>3463</v>
      </c>
      <c r="G314" s="143" t="s">
        <v>3279</v>
      </c>
      <c r="H314" s="129" t="s">
        <v>3280</v>
      </c>
      <c r="I314" s="136"/>
      <c r="J314" s="156"/>
      <c r="K314" s="118"/>
      <c r="L314" s="118"/>
      <c r="M314" s="118"/>
      <c r="N314" s="118"/>
    </row>
    <row r="315" ht="15.75" customHeight="1">
      <c r="A315" s="88">
        <v>312.0</v>
      </c>
      <c r="B315" s="140">
        <v>45746.0</v>
      </c>
      <c r="C315" s="132" t="s">
        <v>3464</v>
      </c>
      <c r="D315" s="133" t="s">
        <v>449</v>
      </c>
      <c r="E315" s="134" t="s">
        <v>3465</v>
      </c>
      <c r="F315" s="151" t="s">
        <v>3466</v>
      </c>
      <c r="G315" s="143" t="s">
        <v>3370</v>
      </c>
      <c r="H315" s="129" t="s">
        <v>3280</v>
      </c>
      <c r="I315" s="136"/>
      <c r="J315" s="156"/>
      <c r="K315" s="118"/>
      <c r="L315" s="118"/>
      <c r="M315" s="118"/>
      <c r="N315" s="118"/>
    </row>
    <row r="316" ht="15.75" customHeight="1">
      <c r="A316" s="88">
        <v>313.0</v>
      </c>
      <c r="B316" s="140">
        <v>45747.0</v>
      </c>
      <c r="C316" s="141" t="s">
        <v>3467</v>
      </c>
      <c r="D316" s="133" t="s">
        <v>3468</v>
      </c>
      <c r="E316" s="134">
        <v>6.475708328E9</v>
      </c>
      <c r="F316" s="151" t="s">
        <v>3469</v>
      </c>
      <c r="G316" s="143" t="s">
        <v>3394</v>
      </c>
      <c r="H316" s="129" t="s">
        <v>3280</v>
      </c>
      <c r="I316" s="136"/>
      <c r="J316" s="156"/>
      <c r="K316" s="118"/>
      <c r="L316" s="118"/>
      <c r="M316" s="118"/>
      <c r="N316" s="118"/>
    </row>
    <row r="317" ht="15.75" customHeight="1">
      <c r="A317" s="88">
        <v>314.0</v>
      </c>
      <c r="B317" s="140">
        <v>45748.0</v>
      </c>
      <c r="C317" s="141" t="s">
        <v>1482</v>
      </c>
      <c r="D317" s="133" t="s">
        <v>3470</v>
      </c>
      <c r="E317" s="134">
        <v>9.054472247E9</v>
      </c>
      <c r="F317" s="151" t="s">
        <v>3471</v>
      </c>
      <c r="G317" s="143" t="s">
        <v>3374</v>
      </c>
      <c r="H317" s="129" t="s">
        <v>3280</v>
      </c>
      <c r="I317" s="129"/>
      <c r="J317" s="156"/>
      <c r="K317" s="118"/>
      <c r="L317" s="118"/>
      <c r="M317" s="118"/>
      <c r="N317" s="118"/>
    </row>
    <row r="318" ht="15.75" customHeight="1">
      <c r="A318" s="88">
        <v>315.0</v>
      </c>
      <c r="B318" s="140">
        <v>45748.0</v>
      </c>
      <c r="C318" s="141" t="s">
        <v>3472</v>
      </c>
      <c r="D318" s="133" t="s">
        <v>1555</v>
      </c>
      <c r="E318" s="134">
        <v>4.169902367E9</v>
      </c>
      <c r="F318" s="151" t="s">
        <v>3473</v>
      </c>
      <c r="G318" s="143" t="s">
        <v>3374</v>
      </c>
      <c r="H318" s="129" t="s">
        <v>3280</v>
      </c>
      <c r="I318" s="136"/>
      <c r="J318" s="156"/>
      <c r="K318" s="118"/>
      <c r="L318" s="118"/>
      <c r="M318" s="118"/>
      <c r="N318" s="118"/>
    </row>
    <row r="319" ht="15.75" customHeight="1">
      <c r="A319" s="88">
        <v>316.0</v>
      </c>
      <c r="B319" s="140">
        <v>45749.0</v>
      </c>
      <c r="C319" s="141" t="s">
        <v>3474</v>
      </c>
      <c r="D319" s="133" t="s">
        <v>3475</v>
      </c>
      <c r="E319" s="134" t="s">
        <v>3476</v>
      </c>
      <c r="F319" s="160" t="s">
        <v>3477</v>
      </c>
      <c r="G319" s="143" t="s">
        <v>3283</v>
      </c>
      <c r="H319" s="129" t="s">
        <v>3280</v>
      </c>
      <c r="I319" s="136"/>
      <c r="J319" s="156"/>
      <c r="K319" s="118"/>
      <c r="L319" s="118"/>
      <c r="M319" s="118"/>
      <c r="N319" s="118"/>
    </row>
    <row r="320" ht="15.75" customHeight="1">
      <c r="A320" s="88">
        <v>317.0</v>
      </c>
      <c r="B320" s="140">
        <v>45750.0</v>
      </c>
      <c r="C320" s="141" t="s">
        <v>3478</v>
      </c>
      <c r="D320" s="132" t="s">
        <v>3479</v>
      </c>
      <c r="E320" s="134">
        <v>9.054313763E9</v>
      </c>
      <c r="F320" s="161" t="s">
        <v>3480</v>
      </c>
      <c r="G320" s="143" t="s">
        <v>3286</v>
      </c>
      <c r="H320" s="129" t="s">
        <v>3280</v>
      </c>
      <c r="I320" s="136"/>
      <c r="J320" s="162"/>
      <c r="K320" s="118"/>
      <c r="L320" s="118"/>
      <c r="M320" s="118"/>
      <c r="N320" s="118"/>
    </row>
    <row r="321" ht="15.75" customHeight="1">
      <c r="A321" s="88">
        <v>318.0</v>
      </c>
      <c r="B321" s="140">
        <v>45750.0</v>
      </c>
      <c r="C321" s="141" t="s">
        <v>892</v>
      </c>
      <c r="D321" s="133" t="s">
        <v>893</v>
      </c>
      <c r="E321" s="134">
        <v>2.897726202E9</v>
      </c>
      <c r="F321" s="161" t="s">
        <v>3097</v>
      </c>
      <c r="G321" s="143" t="s">
        <v>3292</v>
      </c>
      <c r="H321" s="136"/>
      <c r="I321" s="129"/>
      <c r="J321" s="162"/>
      <c r="K321" s="118"/>
      <c r="L321" s="118"/>
      <c r="M321" s="118"/>
      <c r="N321" s="118"/>
    </row>
    <row r="322" ht="15.75" customHeight="1">
      <c r="A322" s="88">
        <v>319.0</v>
      </c>
      <c r="B322" s="140">
        <v>45750.0</v>
      </c>
      <c r="C322" s="141" t="s">
        <v>3481</v>
      </c>
      <c r="D322" s="132" t="s">
        <v>3482</v>
      </c>
      <c r="E322" s="134">
        <v>6.477805841E9</v>
      </c>
      <c r="F322" s="161" t="s">
        <v>3483</v>
      </c>
      <c r="G322" s="142" t="s">
        <v>3374</v>
      </c>
      <c r="H322" s="129" t="s">
        <v>3335</v>
      </c>
      <c r="I322" s="136"/>
      <c r="J322" s="156"/>
      <c r="K322" s="118"/>
      <c r="L322" s="118"/>
      <c r="M322" s="118"/>
      <c r="N322" s="118"/>
    </row>
    <row r="323" ht="15.75" customHeight="1">
      <c r="A323" s="88">
        <v>320.0</v>
      </c>
      <c r="B323" s="140">
        <v>45752.0</v>
      </c>
      <c r="C323" s="157" t="s">
        <v>3484</v>
      </c>
      <c r="D323" s="133" t="s">
        <v>203</v>
      </c>
      <c r="E323" s="134">
        <v>6.475157686E9</v>
      </c>
      <c r="F323" s="161" t="s">
        <v>3485</v>
      </c>
      <c r="G323" s="143" t="s">
        <v>3295</v>
      </c>
      <c r="H323" s="129" t="s">
        <v>3280</v>
      </c>
      <c r="I323" s="136"/>
      <c r="J323" s="156"/>
      <c r="K323" s="118"/>
      <c r="L323" s="118"/>
      <c r="M323" s="118"/>
      <c r="N323" s="118"/>
    </row>
    <row r="324" ht="15.75" customHeight="1">
      <c r="A324" s="88">
        <v>321.0</v>
      </c>
      <c r="B324" s="140">
        <v>45752.0</v>
      </c>
      <c r="C324" s="163" t="s">
        <v>3486</v>
      </c>
      <c r="D324" s="133" t="s">
        <v>3487</v>
      </c>
      <c r="E324" s="134">
        <v>6.47952245E9</v>
      </c>
      <c r="F324" s="161" t="s">
        <v>3488</v>
      </c>
      <c r="G324" s="143" t="s">
        <v>3299</v>
      </c>
      <c r="H324" s="129" t="s">
        <v>3280</v>
      </c>
      <c r="I324" s="136"/>
      <c r="J324" s="156"/>
      <c r="K324" s="118"/>
      <c r="L324" s="118"/>
      <c r="M324" s="118"/>
      <c r="N324" s="118"/>
    </row>
    <row r="325" ht="15.75" customHeight="1">
      <c r="A325" s="88">
        <v>322.0</v>
      </c>
      <c r="B325" s="140">
        <v>45752.0</v>
      </c>
      <c r="C325" s="163" t="s">
        <v>3489</v>
      </c>
      <c r="D325" s="133" t="s">
        <v>3490</v>
      </c>
      <c r="E325" s="134">
        <v>6.478855632E9</v>
      </c>
      <c r="F325" s="161" t="s">
        <v>3491</v>
      </c>
      <c r="G325" s="143" t="s">
        <v>3374</v>
      </c>
      <c r="H325" s="129" t="s">
        <v>3280</v>
      </c>
      <c r="I325" s="136"/>
      <c r="J325" s="156"/>
      <c r="K325" s="118"/>
      <c r="L325" s="118"/>
      <c r="M325" s="118"/>
      <c r="N325" s="118"/>
    </row>
    <row r="326" ht="15.75" customHeight="1">
      <c r="A326" s="88">
        <v>323.0</v>
      </c>
      <c r="B326" s="140">
        <v>45755.0</v>
      </c>
      <c r="C326" s="132" t="s">
        <v>3492</v>
      </c>
      <c r="D326" s="133" t="s">
        <v>3493</v>
      </c>
      <c r="E326" s="134">
        <v>6.477680271E9</v>
      </c>
      <c r="F326" s="161" t="s">
        <v>3494</v>
      </c>
      <c r="G326" s="143" t="s">
        <v>3292</v>
      </c>
      <c r="H326" s="129" t="s">
        <v>3280</v>
      </c>
      <c r="I326" s="136"/>
      <c r="J326" s="162"/>
      <c r="K326" s="118"/>
      <c r="L326" s="118"/>
      <c r="M326" s="118"/>
      <c r="N326" s="118"/>
    </row>
    <row r="327" ht="15.75" customHeight="1">
      <c r="A327" s="88">
        <v>324.0</v>
      </c>
      <c r="B327" s="140">
        <v>45755.0</v>
      </c>
      <c r="C327" s="133" t="s">
        <v>803</v>
      </c>
      <c r="D327" s="132" t="s">
        <v>3495</v>
      </c>
      <c r="E327" s="134">
        <v>9.058018899E9</v>
      </c>
      <c r="F327" s="164"/>
      <c r="G327" s="143" t="s">
        <v>1849</v>
      </c>
      <c r="H327" s="129" t="s">
        <v>3280</v>
      </c>
      <c r="I327" s="136"/>
      <c r="J327" s="156"/>
      <c r="K327" s="118"/>
      <c r="L327" s="118"/>
      <c r="M327" s="118"/>
      <c r="N327" s="118"/>
    </row>
    <row r="328" ht="15.75" customHeight="1">
      <c r="A328" s="88">
        <v>325.0</v>
      </c>
      <c r="B328" s="140">
        <v>45756.0</v>
      </c>
      <c r="C328" s="141" t="s">
        <v>3496</v>
      </c>
      <c r="D328" s="133" t="s">
        <v>3497</v>
      </c>
      <c r="E328" s="134">
        <v>6.478997459E9</v>
      </c>
      <c r="F328" s="161" t="s">
        <v>3498</v>
      </c>
      <c r="G328" s="143" t="s">
        <v>3283</v>
      </c>
      <c r="H328" s="136"/>
      <c r="I328" s="136"/>
      <c r="J328" s="156"/>
      <c r="K328" s="118"/>
      <c r="L328" s="118"/>
      <c r="M328" s="118"/>
      <c r="N328" s="118"/>
    </row>
    <row r="329" ht="15.75" customHeight="1">
      <c r="A329" s="88">
        <v>326.0</v>
      </c>
      <c r="B329" s="140">
        <v>45756.0</v>
      </c>
      <c r="C329" s="141" t="s">
        <v>3499</v>
      </c>
      <c r="D329" s="141" t="s">
        <v>3500</v>
      </c>
      <c r="E329" s="135" t="s">
        <v>3501</v>
      </c>
      <c r="F329" s="161" t="s">
        <v>3502</v>
      </c>
      <c r="G329" s="143" t="s">
        <v>3383</v>
      </c>
      <c r="H329" s="129" t="s">
        <v>3280</v>
      </c>
      <c r="I329" s="136"/>
      <c r="J329" s="156"/>
      <c r="K329" s="118"/>
      <c r="L329" s="118"/>
      <c r="M329" s="118"/>
      <c r="N329" s="118"/>
    </row>
    <row r="330" ht="15.75" customHeight="1">
      <c r="A330" s="88">
        <v>327.0</v>
      </c>
      <c r="B330" s="140">
        <v>45759.0</v>
      </c>
      <c r="C330" s="141" t="s">
        <v>3503</v>
      </c>
      <c r="D330" s="141" t="s">
        <v>3504</v>
      </c>
      <c r="E330" s="134">
        <v>6.47995036E9</v>
      </c>
      <c r="F330" s="161" t="s">
        <v>3505</v>
      </c>
      <c r="G330" s="143" t="s">
        <v>3322</v>
      </c>
      <c r="H330" s="129" t="s">
        <v>3280</v>
      </c>
      <c r="I330" s="136"/>
      <c r="J330" s="156"/>
      <c r="K330" s="118"/>
      <c r="L330" s="118"/>
      <c r="M330" s="118"/>
      <c r="N330" s="118"/>
    </row>
    <row r="331" ht="15.75" customHeight="1">
      <c r="A331" s="88">
        <v>328.0</v>
      </c>
      <c r="B331" s="140">
        <v>45759.0</v>
      </c>
      <c r="C331" s="141" t="s">
        <v>3506</v>
      </c>
      <c r="D331" s="141" t="s">
        <v>3507</v>
      </c>
      <c r="E331" s="134">
        <v>6.473357786E9</v>
      </c>
      <c r="F331" s="161" t="s">
        <v>3508</v>
      </c>
      <c r="G331" s="143" t="s">
        <v>3374</v>
      </c>
      <c r="H331" s="129" t="s">
        <v>3335</v>
      </c>
      <c r="I331" s="136"/>
      <c r="J331" s="156"/>
      <c r="K331" s="118"/>
      <c r="L331" s="118"/>
      <c r="M331" s="118"/>
      <c r="N331" s="118"/>
    </row>
    <row r="332" ht="15.75" customHeight="1">
      <c r="A332" s="88">
        <v>329.0</v>
      </c>
      <c r="B332" s="140">
        <v>45760.0</v>
      </c>
      <c r="C332" s="141" t="s">
        <v>3486</v>
      </c>
      <c r="D332" s="141" t="s">
        <v>3509</v>
      </c>
      <c r="E332" s="137">
        <v>4.377724171E9</v>
      </c>
      <c r="F332" s="161" t="s">
        <v>3510</v>
      </c>
      <c r="G332" s="143" t="s">
        <v>3283</v>
      </c>
      <c r="H332" s="129" t="s">
        <v>3280</v>
      </c>
      <c r="I332" s="136"/>
      <c r="J332" s="156"/>
      <c r="K332" s="118"/>
      <c r="L332" s="118"/>
      <c r="M332" s="118"/>
      <c r="N332" s="118"/>
    </row>
    <row r="333" ht="15.75" customHeight="1">
      <c r="A333" s="88">
        <v>330.0</v>
      </c>
      <c r="B333" s="140">
        <v>45760.0</v>
      </c>
      <c r="C333" s="141" t="s">
        <v>3511</v>
      </c>
      <c r="D333" s="157" t="s">
        <v>3512</v>
      </c>
      <c r="E333" s="135">
        <v>4.167379076E9</v>
      </c>
      <c r="F333" s="161" t="s">
        <v>3513</v>
      </c>
      <c r="G333" s="143" t="s">
        <v>3394</v>
      </c>
      <c r="H333" s="129" t="s">
        <v>3335</v>
      </c>
      <c r="I333" s="136"/>
      <c r="J333" s="156"/>
      <c r="K333" s="118"/>
      <c r="L333" s="118"/>
      <c r="M333" s="118"/>
      <c r="N333" s="118"/>
    </row>
    <row r="334" ht="15.75" customHeight="1">
      <c r="A334" s="88">
        <v>331.0</v>
      </c>
      <c r="B334" s="140">
        <v>45760.0</v>
      </c>
      <c r="C334" s="141" t="s">
        <v>2149</v>
      </c>
      <c r="D334" s="158" t="s">
        <v>3514</v>
      </c>
      <c r="E334" s="135">
        <v>2.896880938E9</v>
      </c>
      <c r="F334" s="165" t="s">
        <v>3515</v>
      </c>
      <c r="G334" s="143" t="s">
        <v>3374</v>
      </c>
      <c r="H334" s="129" t="s">
        <v>3280</v>
      </c>
      <c r="I334" s="136"/>
      <c r="J334" s="156"/>
      <c r="K334" s="118"/>
      <c r="L334" s="118"/>
      <c r="M334" s="118"/>
      <c r="N334" s="118"/>
    </row>
    <row r="335" ht="15.75" customHeight="1">
      <c r="A335" s="88">
        <v>332.0</v>
      </c>
      <c r="B335" s="140">
        <v>45761.0</v>
      </c>
      <c r="C335" s="166" t="s">
        <v>3516</v>
      </c>
      <c r="D335" s="166" t="s">
        <v>3517</v>
      </c>
      <c r="E335" s="167" t="s">
        <v>3518</v>
      </c>
      <c r="F335" s="166" t="s">
        <v>3519</v>
      </c>
      <c r="G335" s="144"/>
      <c r="H335" s="136"/>
      <c r="I335" s="136"/>
      <c r="J335" s="156"/>
      <c r="K335" s="118"/>
      <c r="L335" s="118"/>
      <c r="M335" s="118"/>
      <c r="N335" s="118"/>
    </row>
    <row r="336" ht="15.75" customHeight="1">
      <c r="A336" s="88">
        <v>333.0</v>
      </c>
      <c r="B336" s="140">
        <v>45763.0</v>
      </c>
      <c r="C336" s="168" t="s">
        <v>3520</v>
      </c>
      <c r="D336" s="169" t="s">
        <v>1911</v>
      </c>
      <c r="E336" s="170" t="s">
        <v>3521</v>
      </c>
      <c r="F336" s="171" t="s">
        <v>3522</v>
      </c>
      <c r="G336" s="143" t="s">
        <v>3383</v>
      </c>
      <c r="H336" s="129" t="s">
        <v>3280</v>
      </c>
      <c r="I336" s="136"/>
      <c r="J336" s="156"/>
      <c r="K336" s="118"/>
      <c r="L336" s="118"/>
      <c r="M336" s="118"/>
      <c r="N336" s="118"/>
    </row>
    <row r="337" ht="15.75" customHeight="1">
      <c r="A337" s="88">
        <v>334.0</v>
      </c>
      <c r="B337" s="140">
        <v>45764.0</v>
      </c>
      <c r="C337" s="157" t="s">
        <v>3523</v>
      </c>
      <c r="D337" s="132" t="s">
        <v>3524</v>
      </c>
      <c r="E337" s="135">
        <v>5.19996539E9</v>
      </c>
      <c r="F337" s="171" t="s">
        <v>3525</v>
      </c>
      <c r="G337" s="143" t="s">
        <v>3526</v>
      </c>
      <c r="H337" s="136"/>
      <c r="I337" s="136"/>
      <c r="J337" s="156"/>
      <c r="K337" s="118"/>
      <c r="L337" s="118"/>
      <c r="M337" s="118"/>
      <c r="N337" s="118"/>
    </row>
    <row r="338" ht="15.75" customHeight="1">
      <c r="A338" s="88">
        <v>335.0</v>
      </c>
      <c r="B338" s="140">
        <v>45764.0</v>
      </c>
      <c r="C338" s="158" t="s">
        <v>3527</v>
      </c>
      <c r="D338" s="132" t="s">
        <v>3528</v>
      </c>
      <c r="E338" s="135">
        <v>6.475349309E9</v>
      </c>
      <c r="F338" s="171" t="s">
        <v>3529</v>
      </c>
      <c r="G338" s="143" t="s">
        <v>3283</v>
      </c>
      <c r="H338" s="129" t="s">
        <v>3280</v>
      </c>
      <c r="I338" s="136"/>
      <c r="J338" s="156"/>
      <c r="K338" s="118"/>
      <c r="L338" s="118"/>
      <c r="M338" s="118"/>
      <c r="N338" s="118"/>
    </row>
    <row r="339" ht="15.75" customHeight="1">
      <c r="A339" s="88">
        <v>336.0</v>
      </c>
      <c r="B339" s="140">
        <v>45765.0</v>
      </c>
      <c r="C339" s="163" t="s">
        <v>10</v>
      </c>
      <c r="D339" s="133" t="s">
        <v>714</v>
      </c>
      <c r="E339" s="135">
        <v>4.166708566E9</v>
      </c>
      <c r="F339" s="171" t="s">
        <v>3530</v>
      </c>
      <c r="G339" s="143" t="s">
        <v>3370</v>
      </c>
      <c r="H339" s="129" t="s">
        <v>3335</v>
      </c>
      <c r="I339" s="136"/>
      <c r="J339" s="156"/>
      <c r="K339" s="118"/>
      <c r="L339" s="118"/>
      <c r="M339" s="118"/>
      <c r="N339" s="118"/>
    </row>
    <row r="340" ht="15.75" customHeight="1">
      <c r="A340" s="88">
        <v>337.0</v>
      </c>
      <c r="B340" s="140">
        <v>45765.0</v>
      </c>
      <c r="C340" s="163" t="s">
        <v>3531</v>
      </c>
      <c r="D340" s="133" t="s">
        <v>3532</v>
      </c>
      <c r="E340" s="134">
        <v>6.477664748E9</v>
      </c>
      <c r="F340" s="171" t="s">
        <v>3533</v>
      </c>
      <c r="G340" s="143" t="s">
        <v>3299</v>
      </c>
      <c r="H340" s="129" t="s">
        <v>3280</v>
      </c>
      <c r="I340" s="136"/>
      <c r="J340" s="156"/>
      <c r="K340" s="118"/>
      <c r="L340" s="118"/>
      <c r="M340" s="118"/>
      <c r="N340" s="118"/>
    </row>
    <row r="341" ht="15.75" customHeight="1">
      <c r="A341" s="88">
        <v>338.0</v>
      </c>
      <c r="B341" s="140">
        <v>45766.0</v>
      </c>
      <c r="C341" s="163" t="s">
        <v>3534</v>
      </c>
      <c r="D341" s="141" t="s">
        <v>3535</v>
      </c>
      <c r="E341" s="145">
        <v>6.475463745E9</v>
      </c>
      <c r="F341" s="171" t="s">
        <v>3536</v>
      </c>
      <c r="G341" s="143" t="s">
        <v>3319</v>
      </c>
      <c r="H341" s="136"/>
      <c r="I341" s="129"/>
      <c r="J341" s="156"/>
      <c r="K341" s="118"/>
      <c r="L341" s="118"/>
      <c r="M341" s="118"/>
      <c r="N341" s="118"/>
    </row>
    <row r="342" ht="15.75" customHeight="1">
      <c r="A342" s="88">
        <v>339.0</v>
      </c>
      <c r="B342" s="140">
        <v>45766.0</v>
      </c>
      <c r="C342" s="163" t="s">
        <v>3537</v>
      </c>
      <c r="D342" s="141" t="s">
        <v>19</v>
      </c>
      <c r="E342" s="134">
        <v>6.479221305E9</v>
      </c>
      <c r="F342" s="172" t="s">
        <v>3538</v>
      </c>
      <c r="G342" s="143" t="s">
        <v>3383</v>
      </c>
      <c r="H342" s="129" t="s">
        <v>3280</v>
      </c>
      <c r="I342" s="136"/>
      <c r="J342" s="156"/>
      <c r="K342" s="118"/>
      <c r="L342" s="118"/>
      <c r="M342" s="118"/>
      <c r="N342" s="118"/>
    </row>
    <row r="343" ht="15.75" customHeight="1">
      <c r="A343" s="88">
        <v>340.0</v>
      </c>
      <c r="B343" s="140">
        <v>45766.0</v>
      </c>
      <c r="C343" s="163" t="s">
        <v>3539</v>
      </c>
      <c r="D343" s="141" t="s">
        <v>3540</v>
      </c>
      <c r="E343" s="145">
        <v>6.475742611E9</v>
      </c>
      <c r="F343" s="172" t="s">
        <v>3541</v>
      </c>
      <c r="G343" s="143" t="s">
        <v>3394</v>
      </c>
      <c r="H343" s="129" t="s">
        <v>3280</v>
      </c>
      <c r="I343" s="136"/>
      <c r="J343" s="156"/>
      <c r="K343" s="118"/>
      <c r="L343" s="118"/>
      <c r="M343" s="118"/>
      <c r="N343" s="118"/>
    </row>
    <row r="344" ht="15.75" customHeight="1">
      <c r="A344" s="88">
        <v>341.0</v>
      </c>
      <c r="B344" s="140">
        <v>45768.0</v>
      </c>
      <c r="C344" s="163" t="s">
        <v>3542</v>
      </c>
      <c r="D344" s="141" t="s">
        <v>3543</v>
      </c>
      <c r="E344" s="145">
        <v>9.052436635E9</v>
      </c>
      <c r="F344" s="172" t="s">
        <v>3544</v>
      </c>
      <c r="G344" s="143" t="s">
        <v>3286</v>
      </c>
      <c r="H344" s="129" t="s">
        <v>3280</v>
      </c>
      <c r="I344" s="136"/>
      <c r="J344" s="162"/>
      <c r="K344" s="118"/>
      <c r="L344" s="118"/>
      <c r="M344" s="118"/>
      <c r="N344" s="118"/>
    </row>
    <row r="345" ht="15.75" customHeight="1">
      <c r="A345" s="88">
        <v>342.0</v>
      </c>
      <c r="B345" s="140">
        <v>45769.0</v>
      </c>
      <c r="C345" s="132" t="s">
        <v>3545</v>
      </c>
      <c r="D345" s="141" t="s">
        <v>3546</v>
      </c>
      <c r="E345" s="145">
        <v>6.475346262E9</v>
      </c>
      <c r="F345" s="172" t="s">
        <v>3547</v>
      </c>
      <c r="G345" s="143" t="s">
        <v>3370</v>
      </c>
      <c r="H345" s="129" t="s">
        <v>3280</v>
      </c>
      <c r="I345" s="129"/>
      <c r="J345" s="162"/>
      <c r="K345" s="118"/>
      <c r="L345" s="118"/>
      <c r="M345" s="118"/>
      <c r="N345" s="118"/>
    </row>
    <row r="346" ht="15.75" customHeight="1">
      <c r="A346" s="88">
        <v>343.0</v>
      </c>
      <c r="B346" s="140">
        <v>45770.0</v>
      </c>
      <c r="C346" s="141" t="s">
        <v>3548</v>
      </c>
      <c r="D346" s="141" t="s">
        <v>3549</v>
      </c>
      <c r="E346" s="145">
        <v>4.373314224E9</v>
      </c>
      <c r="F346" s="172" t="s">
        <v>3550</v>
      </c>
      <c r="G346" s="143" t="s">
        <v>3383</v>
      </c>
      <c r="H346" s="129" t="s">
        <v>3280</v>
      </c>
      <c r="I346" s="136"/>
      <c r="J346" s="162"/>
      <c r="K346" s="118"/>
      <c r="L346" s="118"/>
      <c r="M346" s="118"/>
      <c r="N346" s="118"/>
    </row>
    <row r="347" ht="15.75" customHeight="1">
      <c r="A347" s="88">
        <v>344.0</v>
      </c>
      <c r="B347" s="140">
        <v>45770.0</v>
      </c>
      <c r="C347" s="141" t="s">
        <v>2418</v>
      </c>
      <c r="D347" s="141" t="s">
        <v>3551</v>
      </c>
      <c r="E347" s="135" t="s">
        <v>3552</v>
      </c>
      <c r="F347" s="172" t="s">
        <v>3553</v>
      </c>
      <c r="G347" s="143" t="s">
        <v>3283</v>
      </c>
      <c r="H347" s="129" t="s">
        <v>3316</v>
      </c>
      <c r="I347" s="136"/>
      <c r="J347" s="156"/>
      <c r="K347" s="118"/>
      <c r="L347" s="118"/>
      <c r="M347" s="118"/>
      <c r="N347" s="118"/>
    </row>
    <row r="348" ht="15.75" customHeight="1">
      <c r="A348" s="88">
        <v>345.0</v>
      </c>
      <c r="B348" s="140">
        <v>45772.0</v>
      </c>
      <c r="C348" s="141" t="s">
        <v>3554</v>
      </c>
      <c r="D348" s="141" t="s">
        <v>3555</v>
      </c>
      <c r="E348" s="135">
        <v>5.198685018E9</v>
      </c>
      <c r="F348" s="172" t="s">
        <v>3556</v>
      </c>
      <c r="G348" s="143" t="s">
        <v>3379</v>
      </c>
      <c r="H348" s="129" t="s">
        <v>3280</v>
      </c>
      <c r="I348" s="136"/>
      <c r="J348" s="156"/>
      <c r="K348" s="118"/>
      <c r="L348" s="118"/>
      <c r="M348" s="118"/>
      <c r="N348" s="118"/>
    </row>
    <row r="349" ht="15.75" customHeight="1">
      <c r="A349" s="88">
        <v>346.0</v>
      </c>
      <c r="B349" s="140">
        <v>45773.0</v>
      </c>
      <c r="C349" s="163" t="s">
        <v>3557</v>
      </c>
      <c r="D349" s="141" t="s">
        <v>3558</v>
      </c>
      <c r="E349" s="135">
        <v>4.167799493E9</v>
      </c>
      <c r="F349" s="172" t="s">
        <v>3559</v>
      </c>
      <c r="G349" s="143" t="s">
        <v>3283</v>
      </c>
      <c r="H349" s="129" t="s">
        <v>3280</v>
      </c>
      <c r="I349" s="136"/>
      <c r="J349" s="156"/>
      <c r="K349" s="118"/>
      <c r="L349" s="118"/>
      <c r="M349" s="118"/>
      <c r="N349" s="118"/>
    </row>
    <row r="350" ht="15.75" customHeight="1">
      <c r="A350" s="88">
        <v>347.0</v>
      </c>
      <c r="B350" s="140">
        <v>45776.0</v>
      </c>
      <c r="C350" s="141" t="s">
        <v>3560</v>
      </c>
      <c r="D350" s="141" t="s">
        <v>3561</v>
      </c>
      <c r="E350" s="135">
        <v>4.163178573E9</v>
      </c>
      <c r="F350" s="172" t="s">
        <v>3562</v>
      </c>
      <c r="G350" s="143" t="s">
        <v>3283</v>
      </c>
      <c r="H350" s="129" t="s">
        <v>3280</v>
      </c>
      <c r="I350" s="136"/>
      <c r="J350" s="156"/>
      <c r="K350" s="118"/>
      <c r="L350" s="118"/>
      <c r="M350" s="118"/>
      <c r="N350" s="118"/>
    </row>
    <row r="351" ht="15.75" customHeight="1">
      <c r="A351" s="88">
        <v>348.0</v>
      </c>
      <c r="B351" s="140">
        <v>45777.0</v>
      </c>
      <c r="C351" s="141" t="s">
        <v>195</v>
      </c>
      <c r="D351" s="141" t="s">
        <v>3563</v>
      </c>
      <c r="E351" s="135">
        <v>9.054096945E9</v>
      </c>
      <c r="F351" s="172" t="s">
        <v>3564</v>
      </c>
      <c r="G351" s="143" t="s">
        <v>3374</v>
      </c>
      <c r="H351" s="129" t="s">
        <v>3335</v>
      </c>
      <c r="I351" s="136"/>
      <c r="J351" s="162"/>
      <c r="K351" s="118"/>
      <c r="L351" s="118"/>
      <c r="M351" s="118"/>
      <c r="N351" s="118"/>
    </row>
    <row r="352" ht="15.75" customHeight="1">
      <c r="A352" s="88">
        <v>349.0</v>
      </c>
      <c r="B352" s="140">
        <v>45777.0</v>
      </c>
      <c r="C352" s="141" t="s">
        <v>2402</v>
      </c>
      <c r="D352" s="141" t="s">
        <v>3565</v>
      </c>
      <c r="E352" s="135">
        <v>9.054418568E9</v>
      </c>
      <c r="F352" s="172" t="s">
        <v>3566</v>
      </c>
      <c r="G352" s="143" t="s">
        <v>3286</v>
      </c>
      <c r="H352" s="129" t="s">
        <v>3567</v>
      </c>
      <c r="I352" s="136"/>
      <c r="J352" s="162"/>
      <c r="K352" s="118"/>
      <c r="L352" s="118"/>
      <c r="M352" s="118"/>
      <c r="N352" s="118"/>
    </row>
    <row r="353" ht="15.75" customHeight="1">
      <c r="A353" s="88">
        <v>350.0</v>
      </c>
      <c r="B353" s="140">
        <v>45779.0</v>
      </c>
      <c r="C353" s="141" t="s">
        <v>3568</v>
      </c>
      <c r="D353" s="141" t="s">
        <v>1222</v>
      </c>
      <c r="E353" s="135">
        <v>4.168012604E9</v>
      </c>
      <c r="F353" s="172" t="s">
        <v>3569</v>
      </c>
      <c r="G353" s="143" t="s">
        <v>3570</v>
      </c>
      <c r="H353" s="129" t="s">
        <v>3567</v>
      </c>
      <c r="I353" s="129"/>
      <c r="J353" s="173"/>
      <c r="K353" s="118"/>
      <c r="L353" s="118"/>
      <c r="M353" s="118"/>
      <c r="N353" s="118"/>
    </row>
    <row r="354" ht="15.75" customHeight="1">
      <c r="A354" s="88">
        <v>351.0</v>
      </c>
      <c r="B354" s="140">
        <v>45781.0</v>
      </c>
      <c r="C354" s="141" t="s">
        <v>2199</v>
      </c>
      <c r="D354" s="141" t="s">
        <v>2200</v>
      </c>
      <c r="E354" s="135" t="s">
        <v>3571</v>
      </c>
      <c r="F354" s="172" t="s">
        <v>3572</v>
      </c>
      <c r="G354" s="143" t="s">
        <v>3573</v>
      </c>
      <c r="H354" s="129" t="s">
        <v>3300</v>
      </c>
      <c r="I354" s="136"/>
      <c r="J354" s="173"/>
      <c r="K354" s="118"/>
      <c r="L354" s="118"/>
      <c r="M354" s="118"/>
      <c r="N354" s="118"/>
    </row>
    <row r="355" ht="15.75" customHeight="1">
      <c r="A355" s="88">
        <v>352.0</v>
      </c>
      <c r="B355" s="140">
        <v>45782.0</v>
      </c>
      <c r="C355" s="141" t="s">
        <v>3574</v>
      </c>
      <c r="D355" s="141" t="s">
        <v>3575</v>
      </c>
      <c r="E355" s="135" t="s">
        <v>3576</v>
      </c>
      <c r="F355" s="172" t="s">
        <v>3577</v>
      </c>
      <c r="G355" s="143" t="s">
        <v>3347</v>
      </c>
      <c r="H355" s="129" t="s">
        <v>3280</v>
      </c>
      <c r="I355" s="136"/>
      <c r="J355" s="173"/>
      <c r="K355" s="118"/>
      <c r="L355" s="118"/>
      <c r="M355" s="118"/>
      <c r="N355" s="118"/>
    </row>
    <row r="356" ht="15.75" customHeight="1">
      <c r="A356" s="88">
        <v>353.0</v>
      </c>
      <c r="B356" s="140">
        <v>45782.0</v>
      </c>
      <c r="C356" s="141" t="s">
        <v>3400</v>
      </c>
      <c r="D356" s="141" t="s">
        <v>3401</v>
      </c>
      <c r="E356" s="135">
        <v>6.478244004E9</v>
      </c>
      <c r="F356" s="172" t="s">
        <v>3402</v>
      </c>
      <c r="G356" s="143" t="s">
        <v>3295</v>
      </c>
      <c r="H356" s="129" t="s">
        <v>3280</v>
      </c>
      <c r="I356" s="129"/>
      <c r="J356" s="162"/>
      <c r="K356" s="118"/>
      <c r="L356" s="118"/>
      <c r="M356" s="118"/>
      <c r="N356" s="118"/>
    </row>
    <row r="357" ht="15.75" customHeight="1">
      <c r="A357" s="88">
        <v>354.0</v>
      </c>
      <c r="B357" s="140">
        <v>45783.0</v>
      </c>
      <c r="C357" s="141" t="s">
        <v>3578</v>
      </c>
      <c r="D357" s="141" t="s">
        <v>3579</v>
      </c>
      <c r="E357" s="135">
        <v>4.376881916E9</v>
      </c>
      <c r="F357" s="172" t="s">
        <v>3580</v>
      </c>
      <c r="G357" s="143" t="s">
        <v>3283</v>
      </c>
      <c r="H357" s="136"/>
      <c r="I357" s="136"/>
      <c r="J357" s="173"/>
      <c r="K357" s="118"/>
      <c r="L357" s="118"/>
      <c r="M357" s="118"/>
      <c r="N357" s="118"/>
    </row>
    <row r="358" ht="15.75" customHeight="1">
      <c r="A358" s="88">
        <v>355.0</v>
      </c>
      <c r="B358" s="140">
        <v>45784.0</v>
      </c>
      <c r="C358" s="141" t="s">
        <v>3581</v>
      </c>
      <c r="D358" s="141" t="s">
        <v>3582</v>
      </c>
      <c r="E358" s="135">
        <v>4.374410814E9</v>
      </c>
      <c r="F358" s="172" t="s">
        <v>3583</v>
      </c>
      <c r="G358" s="143" t="s">
        <v>3283</v>
      </c>
      <c r="H358" s="129" t="s">
        <v>3280</v>
      </c>
      <c r="I358" s="136"/>
      <c r="J358" s="174"/>
      <c r="K358" s="118"/>
      <c r="L358" s="118"/>
      <c r="M358" s="118"/>
      <c r="N358" s="118"/>
    </row>
    <row r="359" ht="15.75" customHeight="1">
      <c r="A359" s="88">
        <v>356.0</v>
      </c>
      <c r="B359" s="140">
        <v>45786.0</v>
      </c>
      <c r="C359" s="141" t="s">
        <v>3584</v>
      </c>
      <c r="D359" s="141" t="s">
        <v>3585</v>
      </c>
      <c r="E359" s="135">
        <v>6.479701523E9</v>
      </c>
      <c r="F359" s="172" t="s">
        <v>3586</v>
      </c>
      <c r="G359" s="143" t="s">
        <v>3344</v>
      </c>
      <c r="H359" s="129" t="s">
        <v>3280</v>
      </c>
      <c r="I359" s="136"/>
      <c r="J359" s="174"/>
      <c r="K359" s="118"/>
      <c r="L359" s="118"/>
      <c r="M359" s="118"/>
      <c r="N359" s="118"/>
    </row>
    <row r="360" ht="15.75" customHeight="1">
      <c r="A360" s="88">
        <v>357.0</v>
      </c>
      <c r="B360" s="140">
        <v>45786.0</v>
      </c>
      <c r="C360" s="141" t="s">
        <v>1324</v>
      </c>
      <c r="D360" s="141" t="s">
        <v>3587</v>
      </c>
      <c r="E360" s="135">
        <v>4.167373923E9</v>
      </c>
      <c r="F360" s="172" t="s">
        <v>3588</v>
      </c>
      <c r="G360" s="143" t="s">
        <v>3394</v>
      </c>
      <c r="H360" s="129" t="s">
        <v>3335</v>
      </c>
      <c r="I360" s="136"/>
      <c r="J360" s="174"/>
      <c r="K360" s="118"/>
      <c r="L360" s="118"/>
      <c r="M360" s="118"/>
      <c r="N360" s="118"/>
    </row>
    <row r="361" ht="15.75" customHeight="1">
      <c r="A361" s="88">
        <v>358.0</v>
      </c>
      <c r="B361" s="140">
        <v>45788.0</v>
      </c>
      <c r="C361" s="141" t="s">
        <v>3589</v>
      </c>
      <c r="D361" s="141" t="s">
        <v>3590</v>
      </c>
      <c r="E361" s="135">
        <v>4.373334722E9</v>
      </c>
      <c r="F361" s="172" t="s">
        <v>3591</v>
      </c>
      <c r="G361" s="143" t="s">
        <v>3592</v>
      </c>
      <c r="H361" s="129" t="s">
        <v>3335</v>
      </c>
      <c r="I361" s="136"/>
      <c r="J361" s="174"/>
      <c r="K361" s="118"/>
      <c r="L361" s="118"/>
      <c r="M361" s="118"/>
      <c r="N361" s="118"/>
    </row>
    <row r="362" ht="15.75" customHeight="1">
      <c r="A362" s="88">
        <v>359.0</v>
      </c>
      <c r="B362" s="140">
        <v>45790.0</v>
      </c>
      <c r="C362" s="141" t="s">
        <v>3593</v>
      </c>
      <c r="D362" s="141" t="s">
        <v>3594</v>
      </c>
      <c r="E362" s="135">
        <v>6.473007157E9</v>
      </c>
      <c r="F362" s="172" t="s">
        <v>3595</v>
      </c>
      <c r="G362" s="143" t="s">
        <v>3283</v>
      </c>
      <c r="H362" s="129" t="s">
        <v>3280</v>
      </c>
      <c r="I362" s="136"/>
      <c r="J362" s="174"/>
      <c r="K362" s="118"/>
      <c r="L362" s="118"/>
      <c r="M362" s="118"/>
      <c r="N362" s="118"/>
    </row>
    <row r="363" ht="15.75" customHeight="1">
      <c r="A363" s="88">
        <v>360.0</v>
      </c>
      <c r="B363" s="140">
        <v>45791.0</v>
      </c>
      <c r="C363" s="141" t="s">
        <v>1738</v>
      </c>
      <c r="D363" s="141" t="s">
        <v>1175</v>
      </c>
      <c r="E363" s="135">
        <v>6.477799493E9</v>
      </c>
      <c r="F363" s="172" t="s">
        <v>3596</v>
      </c>
      <c r="G363" s="143" t="s">
        <v>3592</v>
      </c>
      <c r="H363" s="129" t="s">
        <v>3335</v>
      </c>
      <c r="I363" s="129"/>
      <c r="J363" s="175"/>
      <c r="K363" s="118"/>
      <c r="L363" s="118"/>
      <c r="M363" s="118"/>
      <c r="N363" s="118"/>
    </row>
    <row r="364" ht="15.75" customHeight="1">
      <c r="A364" s="88">
        <v>361.0</v>
      </c>
      <c r="B364" s="140">
        <v>45792.0</v>
      </c>
      <c r="C364" s="141" t="s">
        <v>3597</v>
      </c>
      <c r="D364" s="141" t="s">
        <v>3598</v>
      </c>
      <c r="E364" s="135">
        <v>4.167046118E9</v>
      </c>
      <c r="F364" s="172" t="s">
        <v>3599</v>
      </c>
      <c r="G364" s="143" t="s">
        <v>3286</v>
      </c>
      <c r="H364" s="129" t="s">
        <v>3280</v>
      </c>
      <c r="I364" s="136"/>
      <c r="J364" s="175"/>
      <c r="K364" s="118"/>
      <c r="L364" s="118"/>
      <c r="M364" s="118"/>
      <c r="N364" s="118"/>
    </row>
    <row r="365" ht="15.75" customHeight="1">
      <c r="A365" s="88">
        <v>362.0</v>
      </c>
      <c r="B365" s="140">
        <v>45794.0</v>
      </c>
      <c r="C365" s="141" t="s">
        <v>3600</v>
      </c>
      <c r="D365" s="141" t="s">
        <v>3601</v>
      </c>
      <c r="E365" s="135">
        <v>5.193697495E9</v>
      </c>
      <c r="F365" s="172" t="s">
        <v>3602</v>
      </c>
      <c r="G365" s="143" t="s">
        <v>3286</v>
      </c>
      <c r="H365" s="129" t="s">
        <v>3280</v>
      </c>
      <c r="I365" s="136"/>
      <c r="J365" s="175"/>
      <c r="K365" s="118"/>
      <c r="L365" s="118"/>
      <c r="M365" s="118"/>
      <c r="N365" s="118"/>
    </row>
    <row r="366" ht="15.75" customHeight="1">
      <c r="A366" s="88">
        <v>363.0</v>
      </c>
      <c r="B366" s="140">
        <v>45795.0</v>
      </c>
      <c r="C366" s="141" t="s">
        <v>3603</v>
      </c>
      <c r="D366" s="141" t="s">
        <v>3604</v>
      </c>
      <c r="E366" s="135" t="s">
        <v>3605</v>
      </c>
      <c r="F366" s="172" t="s">
        <v>3606</v>
      </c>
      <c r="G366" s="143" t="s">
        <v>3292</v>
      </c>
      <c r="H366" s="129" t="s">
        <v>3280</v>
      </c>
      <c r="I366" s="136"/>
      <c r="J366" s="175"/>
      <c r="K366" s="118"/>
      <c r="L366" s="118"/>
      <c r="M366" s="118"/>
      <c r="N366" s="118"/>
    </row>
    <row r="367" ht="15.75" customHeight="1">
      <c r="A367" s="88">
        <v>364.0</v>
      </c>
      <c r="B367" s="140">
        <v>45795.0</v>
      </c>
      <c r="C367" s="141" t="s">
        <v>952</v>
      </c>
      <c r="D367" s="141" t="s">
        <v>3607</v>
      </c>
      <c r="E367" s="135" t="s">
        <v>3608</v>
      </c>
      <c r="F367" s="172" t="s">
        <v>3609</v>
      </c>
      <c r="G367" s="143" t="s">
        <v>3295</v>
      </c>
      <c r="H367" s="129" t="s">
        <v>3280</v>
      </c>
      <c r="I367" s="136"/>
      <c r="J367" s="175"/>
      <c r="K367" s="118"/>
      <c r="L367" s="118"/>
      <c r="M367" s="118"/>
      <c r="N367" s="118"/>
    </row>
    <row r="368" ht="15.75" customHeight="1">
      <c r="A368" s="88">
        <v>365.0</v>
      </c>
      <c r="B368" s="140">
        <v>45795.0</v>
      </c>
      <c r="C368" s="141" t="s">
        <v>3610</v>
      </c>
      <c r="D368" s="141" t="s">
        <v>637</v>
      </c>
      <c r="E368" s="135">
        <v>6.475195751E9</v>
      </c>
      <c r="F368" s="172" t="s">
        <v>3611</v>
      </c>
      <c r="G368" s="143" t="s">
        <v>3283</v>
      </c>
      <c r="H368" s="129" t="s">
        <v>3300</v>
      </c>
      <c r="I368" s="129"/>
      <c r="J368" s="175"/>
      <c r="K368" s="118"/>
      <c r="L368" s="118"/>
      <c r="M368" s="118"/>
      <c r="N368" s="118"/>
    </row>
    <row r="369" ht="15.75" customHeight="1">
      <c r="A369" s="88">
        <v>366.0</v>
      </c>
      <c r="B369" s="140">
        <v>45795.0</v>
      </c>
      <c r="C369" s="141" t="s">
        <v>3612</v>
      </c>
      <c r="D369" s="141" t="s">
        <v>3613</v>
      </c>
      <c r="E369" s="135">
        <v>6.473358364E9</v>
      </c>
      <c r="F369" s="172" t="s">
        <v>3614</v>
      </c>
      <c r="G369" s="143" t="s">
        <v>3292</v>
      </c>
      <c r="H369" s="129" t="s">
        <v>3280</v>
      </c>
      <c r="I369" s="136"/>
      <c r="J369" s="175"/>
      <c r="K369" s="118"/>
      <c r="L369" s="118"/>
      <c r="M369" s="118"/>
      <c r="N369" s="118"/>
    </row>
    <row r="370" ht="15.75" customHeight="1">
      <c r="A370" s="88">
        <v>367.0</v>
      </c>
      <c r="B370" s="140">
        <v>45796.0</v>
      </c>
      <c r="C370" s="141" t="s">
        <v>3615</v>
      </c>
      <c r="D370" s="141" t="s">
        <v>3616</v>
      </c>
      <c r="E370" s="135">
        <v>6.477749216E9</v>
      </c>
      <c r="F370" s="172" t="s">
        <v>3617</v>
      </c>
      <c r="G370" s="143" t="s">
        <v>3618</v>
      </c>
      <c r="H370" s="129" t="s">
        <v>3316</v>
      </c>
      <c r="I370" s="129"/>
      <c r="J370" s="175"/>
      <c r="K370" s="118"/>
      <c r="L370" s="118"/>
      <c r="M370" s="118"/>
      <c r="N370" s="118"/>
    </row>
    <row r="371" ht="15.75" customHeight="1">
      <c r="A371" s="88">
        <v>368.0</v>
      </c>
      <c r="B371" s="140">
        <v>45798.0</v>
      </c>
      <c r="C371" s="141" t="s">
        <v>3619</v>
      </c>
      <c r="D371" s="141" t="s">
        <v>3620</v>
      </c>
      <c r="E371" s="135">
        <v>9.054412036E9</v>
      </c>
      <c r="F371" s="172" t="s">
        <v>3621</v>
      </c>
      <c r="G371" s="143" t="s">
        <v>3622</v>
      </c>
      <c r="H371" s="129" t="s">
        <v>3280</v>
      </c>
      <c r="I371" s="136"/>
      <c r="J371" s="175"/>
      <c r="K371" s="118"/>
      <c r="L371" s="118"/>
      <c r="M371" s="118"/>
      <c r="N371" s="118"/>
    </row>
    <row r="372" ht="15.75" customHeight="1">
      <c r="A372" s="88">
        <v>369.0</v>
      </c>
      <c r="B372" s="140">
        <v>45798.0</v>
      </c>
      <c r="C372" s="141" t="s">
        <v>3623</v>
      </c>
      <c r="D372" s="141" t="s">
        <v>3624</v>
      </c>
      <c r="E372" s="135">
        <v>6.478246621E9</v>
      </c>
      <c r="F372" s="172" t="s">
        <v>3625</v>
      </c>
      <c r="G372" s="143" t="s">
        <v>3295</v>
      </c>
      <c r="H372" s="129" t="s">
        <v>3280</v>
      </c>
      <c r="I372" s="136"/>
      <c r="J372" s="175"/>
      <c r="K372" s="118"/>
      <c r="L372" s="118"/>
      <c r="M372" s="118"/>
      <c r="N372" s="118"/>
    </row>
    <row r="373" ht="15.75" customHeight="1">
      <c r="A373" s="88">
        <v>370.0</v>
      </c>
      <c r="B373" s="140">
        <v>45799.0</v>
      </c>
      <c r="C373" s="141" t="s">
        <v>3626</v>
      </c>
      <c r="D373" s="141" t="s">
        <v>953</v>
      </c>
      <c r="E373" s="135">
        <v>4.168843486E9</v>
      </c>
      <c r="F373" s="172" t="s">
        <v>3627</v>
      </c>
      <c r="G373" s="143" t="s">
        <v>3394</v>
      </c>
      <c r="H373" s="129" t="s">
        <v>3335</v>
      </c>
      <c r="I373" s="136"/>
      <c r="J373" s="175"/>
      <c r="K373" s="118"/>
      <c r="L373" s="118"/>
      <c r="M373" s="118"/>
      <c r="N373" s="118"/>
    </row>
    <row r="374" ht="15.75" customHeight="1">
      <c r="A374" s="88">
        <v>371.0</v>
      </c>
      <c r="B374" s="140">
        <v>45799.0</v>
      </c>
      <c r="C374" s="141" t="s">
        <v>1235</v>
      </c>
      <c r="D374" s="141" t="s">
        <v>167</v>
      </c>
      <c r="E374" s="135">
        <v>6.476162233E9</v>
      </c>
      <c r="F374" s="172" t="s">
        <v>3232</v>
      </c>
      <c r="G374" s="143" t="s">
        <v>3374</v>
      </c>
      <c r="H374" s="129" t="s">
        <v>3280</v>
      </c>
      <c r="I374" s="136"/>
      <c r="J374" s="175"/>
      <c r="K374" s="118"/>
      <c r="L374" s="118"/>
      <c r="M374" s="118"/>
      <c r="N374" s="118"/>
    </row>
    <row r="375" ht="15.75" customHeight="1">
      <c r="A375" s="88">
        <v>372.0</v>
      </c>
      <c r="B375" s="140">
        <v>45799.0</v>
      </c>
      <c r="C375" s="141" t="s">
        <v>1398</v>
      </c>
      <c r="D375" s="141" t="s">
        <v>3628</v>
      </c>
      <c r="E375" s="135">
        <v>4.167880827E9</v>
      </c>
      <c r="F375" s="172" t="s">
        <v>3629</v>
      </c>
      <c r="G375" s="143" t="s">
        <v>3295</v>
      </c>
      <c r="H375" s="129" t="s">
        <v>3280</v>
      </c>
      <c r="I375" s="129"/>
      <c r="J375" s="175"/>
      <c r="K375" s="118"/>
      <c r="L375" s="118"/>
      <c r="M375" s="118"/>
      <c r="N375" s="118"/>
    </row>
    <row r="376" ht="15.75" customHeight="1">
      <c r="A376" s="88">
        <v>373.0</v>
      </c>
      <c r="B376" s="140">
        <v>45799.0</v>
      </c>
      <c r="C376" s="141" t="s">
        <v>3630</v>
      </c>
      <c r="D376" s="141" t="s">
        <v>3631</v>
      </c>
      <c r="E376" s="135">
        <v>4.373324388E9</v>
      </c>
      <c r="F376" s="172" t="s">
        <v>3632</v>
      </c>
      <c r="G376" s="143" t="s">
        <v>3295</v>
      </c>
      <c r="H376" s="129" t="s">
        <v>3280</v>
      </c>
      <c r="I376" s="136"/>
      <c r="J376" s="175"/>
      <c r="K376" s="118"/>
      <c r="L376" s="118"/>
      <c r="M376" s="118"/>
      <c r="N376" s="118"/>
    </row>
    <row r="377" ht="15.75" customHeight="1">
      <c r="A377" s="88">
        <v>374.0</v>
      </c>
      <c r="B377" s="140">
        <v>45799.0</v>
      </c>
      <c r="C377" s="141" t="s">
        <v>1543</v>
      </c>
      <c r="D377" s="141" t="s">
        <v>3633</v>
      </c>
      <c r="E377" s="135">
        <v>2.896758906E9</v>
      </c>
      <c r="F377" s="172" t="s">
        <v>3634</v>
      </c>
      <c r="G377" s="143" t="s">
        <v>3286</v>
      </c>
      <c r="H377" s="129" t="s">
        <v>3300</v>
      </c>
      <c r="I377" s="136"/>
      <c r="J377" s="175"/>
      <c r="K377" s="118"/>
      <c r="L377" s="118"/>
      <c r="M377" s="118"/>
      <c r="N377" s="118"/>
    </row>
    <row r="378" ht="15.75" customHeight="1">
      <c r="A378" s="88">
        <v>375.0</v>
      </c>
      <c r="B378" s="140">
        <v>45800.0</v>
      </c>
      <c r="C378" s="141" t="s">
        <v>3635</v>
      </c>
      <c r="D378" s="141" t="s">
        <v>3636</v>
      </c>
      <c r="E378" s="135">
        <v>4.165690969E9</v>
      </c>
      <c r="F378" s="172" t="s">
        <v>3637</v>
      </c>
      <c r="G378" s="143" t="s">
        <v>2736</v>
      </c>
      <c r="H378" s="129" t="s">
        <v>3280</v>
      </c>
      <c r="I378" s="136"/>
      <c r="J378" s="175"/>
      <c r="K378" s="118"/>
      <c r="L378" s="118"/>
      <c r="M378" s="118"/>
      <c r="N378" s="118"/>
    </row>
    <row r="379" ht="15.75" customHeight="1">
      <c r="A379" s="88">
        <v>376.0</v>
      </c>
      <c r="B379" s="140">
        <v>45800.0</v>
      </c>
      <c r="C379" s="141" t="s">
        <v>3638</v>
      </c>
      <c r="D379" s="141" t="s">
        <v>3639</v>
      </c>
      <c r="E379" s="135">
        <v>4.166054182E9</v>
      </c>
      <c r="F379" s="172" t="s">
        <v>3640</v>
      </c>
      <c r="G379" s="143" t="s">
        <v>3292</v>
      </c>
      <c r="H379" s="129" t="s">
        <v>3280</v>
      </c>
      <c r="I379" s="136"/>
      <c r="J379" s="175"/>
      <c r="K379" s="118"/>
      <c r="L379" s="118"/>
      <c r="M379" s="118"/>
      <c r="N379" s="118"/>
    </row>
    <row r="380" ht="15.75" customHeight="1">
      <c r="A380" s="88">
        <v>377.0</v>
      </c>
      <c r="B380" s="140">
        <v>45800.0</v>
      </c>
      <c r="C380" s="141" t="s">
        <v>3641</v>
      </c>
      <c r="D380" s="141" t="s">
        <v>3642</v>
      </c>
      <c r="E380" s="135">
        <v>4.706995172E9</v>
      </c>
      <c r="F380" s="172" t="s">
        <v>3643</v>
      </c>
      <c r="G380" s="143" t="s">
        <v>3283</v>
      </c>
      <c r="H380" s="129" t="s">
        <v>3316</v>
      </c>
      <c r="I380" s="136"/>
      <c r="J380" s="175"/>
      <c r="K380" s="118"/>
      <c r="L380" s="118"/>
      <c r="M380" s="118"/>
      <c r="N380" s="118"/>
    </row>
    <row r="381" ht="15.75" customHeight="1">
      <c r="A381" s="88">
        <v>378.0</v>
      </c>
      <c r="B381" s="140">
        <v>45801.0</v>
      </c>
      <c r="C381" s="141" t="s">
        <v>3644</v>
      </c>
      <c r="D381" s="141" t="s">
        <v>3645</v>
      </c>
      <c r="E381" s="135" t="s">
        <v>3646</v>
      </c>
      <c r="F381" s="172" t="s">
        <v>3647</v>
      </c>
      <c r="G381" s="143" t="s">
        <v>3570</v>
      </c>
      <c r="H381" s="129" t="s">
        <v>3300</v>
      </c>
      <c r="I381" s="136"/>
      <c r="J381" s="175"/>
      <c r="K381" s="118"/>
      <c r="L381" s="118"/>
      <c r="M381" s="118"/>
      <c r="N381" s="118"/>
    </row>
    <row r="382" ht="15.75" customHeight="1">
      <c r="A382" s="88">
        <v>379.0</v>
      </c>
      <c r="B382" s="140">
        <v>45801.0</v>
      </c>
      <c r="C382" s="141" t="s">
        <v>2948</v>
      </c>
      <c r="D382" s="141" t="s">
        <v>3648</v>
      </c>
      <c r="E382" s="135">
        <v>4.372181812E9</v>
      </c>
      <c r="F382" s="172" t="s">
        <v>3649</v>
      </c>
      <c r="G382" s="143" t="s">
        <v>3279</v>
      </c>
      <c r="H382" s="129" t="s">
        <v>3280</v>
      </c>
      <c r="I382" s="129"/>
      <c r="J382" s="175"/>
      <c r="K382" s="118"/>
      <c r="L382" s="118"/>
      <c r="M382" s="118"/>
      <c r="N382" s="118"/>
    </row>
    <row r="383" ht="15.75" customHeight="1">
      <c r="A383" s="88">
        <v>380.0</v>
      </c>
      <c r="B383" s="140">
        <v>45802.0</v>
      </c>
      <c r="C383" s="141" t="s">
        <v>3650</v>
      </c>
      <c r="D383" s="141" t="s">
        <v>3651</v>
      </c>
      <c r="E383" s="135">
        <v>4.377665194E9</v>
      </c>
      <c r="F383" s="172" t="s">
        <v>3652</v>
      </c>
      <c r="G383" s="143" t="s">
        <v>3279</v>
      </c>
      <c r="H383" s="129" t="s">
        <v>3280</v>
      </c>
      <c r="I383" s="136"/>
      <c r="J383" s="175"/>
      <c r="K383" s="118"/>
      <c r="L383" s="118"/>
      <c r="M383" s="118"/>
      <c r="N383" s="118"/>
    </row>
    <row r="384" ht="15.75" customHeight="1">
      <c r="A384" s="88">
        <v>381.0</v>
      </c>
      <c r="B384" s="140">
        <v>45802.0</v>
      </c>
      <c r="C384" s="141" t="s">
        <v>3653</v>
      </c>
      <c r="D384" s="141" t="s">
        <v>881</v>
      </c>
      <c r="E384" s="135">
        <v>2.893001287E9</v>
      </c>
      <c r="F384" s="172" t="s">
        <v>3654</v>
      </c>
      <c r="G384" s="143" t="s">
        <v>3422</v>
      </c>
      <c r="H384" s="129" t="s">
        <v>3280</v>
      </c>
      <c r="I384" s="136"/>
      <c r="J384" s="175"/>
      <c r="K384" s="118"/>
      <c r="L384" s="118"/>
      <c r="M384" s="118"/>
      <c r="N384" s="118"/>
    </row>
    <row r="385" ht="15.75" customHeight="1">
      <c r="A385" s="88">
        <v>382.0</v>
      </c>
      <c r="B385" s="140">
        <v>45802.0</v>
      </c>
      <c r="C385" s="141" t="s">
        <v>365</v>
      </c>
      <c r="D385" s="141" t="s">
        <v>1339</v>
      </c>
      <c r="E385" s="135">
        <v>4.169309261E9</v>
      </c>
      <c r="F385" s="172" t="s">
        <v>3655</v>
      </c>
      <c r="G385" s="143" t="s">
        <v>3283</v>
      </c>
      <c r="H385" s="129" t="s">
        <v>3280</v>
      </c>
      <c r="I385" s="136"/>
      <c r="J385" s="175"/>
      <c r="K385" s="118"/>
      <c r="L385" s="118"/>
      <c r="M385" s="118"/>
      <c r="N385" s="118"/>
    </row>
    <row r="386" ht="15.75" customHeight="1">
      <c r="A386" s="88">
        <v>383.0</v>
      </c>
      <c r="B386" s="140">
        <v>45804.0</v>
      </c>
      <c r="C386" s="141" t="s">
        <v>3656</v>
      </c>
      <c r="D386" s="141" t="s">
        <v>4</v>
      </c>
      <c r="E386" s="135">
        <v>4.168965948E9</v>
      </c>
      <c r="F386" s="172" t="s">
        <v>3657</v>
      </c>
      <c r="G386" s="143" t="s">
        <v>3374</v>
      </c>
      <c r="H386" s="129" t="s">
        <v>3280</v>
      </c>
      <c r="I386" s="136"/>
      <c r="J386" s="175"/>
      <c r="K386" s="118"/>
      <c r="L386" s="118"/>
      <c r="M386" s="118"/>
      <c r="N386" s="118"/>
    </row>
    <row r="387" ht="15.75" customHeight="1">
      <c r="A387" s="88">
        <v>384.0</v>
      </c>
      <c r="B387" s="140">
        <v>45805.0</v>
      </c>
      <c r="C387" s="141" t="s">
        <v>3658</v>
      </c>
      <c r="D387" s="141" t="s">
        <v>3659</v>
      </c>
      <c r="E387" s="135">
        <v>2.499894776E9</v>
      </c>
      <c r="F387" s="172" t="s">
        <v>3660</v>
      </c>
      <c r="G387" s="143" t="s">
        <v>3283</v>
      </c>
      <c r="H387" s="129" t="s">
        <v>3280</v>
      </c>
      <c r="I387" s="129"/>
      <c r="J387" s="175"/>
      <c r="K387" s="118"/>
      <c r="L387" s="118"/>
      <c r="M387" s="118"/>
      <c r="N387" s="118"/>
    </row>
    <row r="388" ht="15.75" customHeight="1">
      <c r="A388" s="88">
        <v>385.0</v>
      </c>
      <c r="B388" s="140">
        <v>45805.0</v>
      </c>
      <c r="C388" s="141" t="s">
        <v>2664</v>
      </c>
      <c r="D388" s="141" t="s">
        <v>2580</v>
      </c>
      <c r="E388" s="135" t="s">
        <v>3661</v>
      </c>
      <c r="F388" s="172" t="s">
        <v>3662</v>
      </c>
      <c r="G388" s="143" t="s">
        <v>3295</v>
      </c>
      <c r="H388" s="129" t="s">
        <v>3316</v>
      </c>
      <c r="I388" s="136"/>
      <c r="J388" s="175"/>
      <c r="K388" s="118"/>
      <c r="L388" s="118"/>
      <c r="M388" s="118"/>
      <c r="N388" s="118"/>
    </row>
    <row r="389" ht="15.75" customHeight="1">
      <c r="A389" s="88">
        <v>386.0</v>
      </c>
      <c r="B389" s="140">
        <v>45806.0</v>
      </c>
      <c r="C389" s="141" t="s">
        <v>2141</v>
      </c>
      <c r="D389" s="141" t="s">
        <v>3663</v>
      </c>
      <c r="E389" s="135">
        <v>7.0561954E9</v>
      </c>
      <c r="F389" s="172" t="s">
        <v>3664</v>
      </c>
      <c r="G389" s="143" t="s">
        <v>3665</v>
      </c>
      <c r="H389" s="129" t="s">
        <v>3280</v>
      </c>
      <c r="I389" s="136"/>
      <c r="J389" s="175"/>
      <c r="K389" s="118"/>
      <c r="L389" s="118"/>
      <c r="M389" s="118"/>
      <c r="N389" s="118"/>
    </row>
    <row r="390" ht="15.75" customHeight="1">
      <c r="A390" s="88">
        <v>387.0</v>
      </c>
      <c r="B390" s="140">
        <v>45806.0</v>
      </c>
      <c r="C390" s="141" t="s">
        <v>3666</v>
      </c>
      <c r="D390" s="141" t="s">
        <v>3667</v>
      </c>
      <c r="E390" s="135">
        <v>6.473320337E9</v>
      </c>
      <c r="F390" s="172" t="s">
        <v>3668</v>
      </c>
      <c r="G390" s="143" t="s">
        <v>3295</v>
      </c>
      <c r="H390" s="129" t="s">
        <v>3280</v>
      </c>
      <c r="I390" s="136"/>
      <c r="J390" s="175"/>
      <c r="K390" s="118"/>
      <c r="L390" s="118"/>
      <c r="M390" s="118"/>
      <c r="N390" s="118"/>
    </row>
    <row r="391" ht="15.75" customHeight="1">
      <c r="A391" s="88">
        <v>388.0</v>
      </c>
      <c r="B391" s="140">
        <v>45809.0</v>
      </c>
      <c r="C391" s="141" t="s">
        <v>3669</v>
      </c>
      <c r="D391" s="141" t="s">
        <v>3670</v>
      </c>
      <c r="E391" s="135">
        <v>4.378794727E9</v>
      </c>
      <c r="F391" s="172" t="s">
        <v>3671</v>
      </c>
      <c r="G391" s="143" t="s">
        <v>3370</v>
      </c>
      <c r="H391" s="129" t="s">
        <v>3280</v>
      </c>
      <c r="I391" s="136"/>
      <c r="J391" s="175"/>
      <c r="K391" s="118"/>
      <c r="L391" s="118"/>
      <c r="M391" s="118"/>
      <c r="N391" s="118"/>
    </row>
    <row r="392" ht="15.75" customHeight="1">
      <c r="A392" s="88">
        <v>389.0</v>
      </c>
      <c r="B392" s="140">
        <v>45809.0</v>
      </c>
      <c r="C392" s="141" t="s">
        <v>3672</v>
      </c>
      <c r="D392" s="141" t="s">
        <v>3673</v>
      </c>
      <c r="E392" s="135">
        <v>7.05308619E9</v>
      </c>
      <c r="F392" s="172" t="s">
        <v>3674</v>
      </c>
      <c r="G392" s="143" t="s">
        <v>3292</v>
      </c>
      <c r="H392" s="129" t="s">
        <v>3280</v>
      </c>
      <c r="I392" s="136"/>
      <c r="J392" s="175"/>
      <c r="K392" s="118"/>
      <c r="L392" s="118"/>
      <c r="M392" s="118"/>
      <c r="N392" s="118"/>
    </row>
    <row r="393" ht="15.75" customHeight="1">
      <c r="A393" s="88">
        <v>390.0</v>
      </c>
      <c r="B393" s="140">
        <v>45811.0</v>
      </c>
      <c r="C393" s="141" t="s">
        <v>3675</v>
      </c>
      <c r="D393" s="141" t="s">
        <v>3676</v>
      </c>
      <c r="E393" s="135">
        <v>4.164715952E9</v>
      </c>
      <c r="F393" s="172" t="s">
        <v>3677</v>
      </c>
      <c r="G393" s="143" t="s">
        <v>3374</v>
      </c>
      <c r="H393" s="129" t="s">
        <v>3280</v>
      </c>
      <c r="I393" s="136"/>
      <c r="J393" s="175"/>
      <c r="K393" s="118"/>
      <c r="L393" s="118"/>
      <c r="M393" s="118"/>
      <c r="N393" s="118"/>
    </row>
    <row r="394" ht="15.75" customHeight="1">
      <c r="A394" s="88">
        <v>391.0</v>
      </c>
      <c r="B394" s="140">
        <v>45811.0</v>
      </c>
      <c r="C394" s="141" t="s">
        <v>3678</v>
      </c>
      <c r="D394" s="141" t="s">
        <v>3679</v>
      </c>
      <c r="E394" s="135">
        <v>5.197312153E9</v>
      </c>
      <c r="F394" s="172" t="s">
        <v>3680</v>
      </c>
      <c r="G394" s="143" t="s">
        <v>3381</v>
      </c>
      <c r="H394" s="129" t="s">
        <v>3280</v>
      </c>
      <c r="I394" s="136"/>
      <c r="J394" s="175"/>
      <c r="K394" s="118"/>
      <c r="L394" s="118"/>
      <c r="M394" s="118"/>
      <c r="N394" s="118"/>
    </row>
    <row r="395" ht="15.75" customHeight="1">
      <c r="A395" s="88">
        <v>392.0</v>
      </c>
      <c r="B395" s="140">
        <v>45811.0</v>
      </c>
      <c r="C395" s="141" t="s">
        <v>3681</v>
      </c>
      <c r="D395" s="141" t="s">
        <v>3682</v>
      </c>
      <c r="E395" s="135">
        <v>6.479243224E9</v>
      </c>
      <c r="F395" s="172" t="s">
        <v>3683</v>
      </c>
      <c r="G395" s="143" t="s">
        <v>3394</v>
      </c>
      <c r="H395" s="129" t="s">
        <v>3300</v>
      </c>
      <c r="I395" s="136"/>
      <c r="J395" s="175"/>
      <c r="K395" s="118"/>
      <c r="L395" s="118"/>
      <c r="M395" s="118"/>
      <c r="N395" s="118"/>
    </row>
    <row r="396" ht="15.75" customHeight="1">
      <c r="A396" s="88">
        <v>393.0</v>
      </c>
      <c r="B396" s="140">
        <v>45812.0</v>
      </c>
      <c r="C396" s="141" t="s">
        <v>3684</v>
      </c>
      <c r="D396" s="141" t="s">
        <v>3685</v>
      </c>
      <c r="E396" s="135">
        <v>2.899928399E9</v>
      </c>
      <c r="F396" s="172" t="s">
        <v>3686</v>
      </c>
      <c r="G396" s="143" t="s">
        <v>3286</v>
      </c>
      <c r="H396" s="129" t="s">
        <v>3280</v>
      </c>
      <c r="I396" s="136"/>
      <c r="J396" s="175"/>
      <c r="K396" s="118"/>
      <c r="L396" s="118"/>
      <c r="M396" s="118"/>
      <c r="N396" s="118"/>
    </row>
    <row r="397" ht="15.75" customHeight="1">
      <c r="A397" s="88">
        <v>394.0</v>
      </c>
      <c r="B397" s="140">
        <v>45812.0</v>
      </c>
      <c r="C397" s="141" t="s">
        <v>3687</v>
      </c>
      <c r="D397" s="141" t="s">
        <v>3688</v>
      </c>
      <c r="E397" s="135">
        <v>4.374436196E9</v>
      </c>
      <c r="F397" s="172" t="s">
        <v>3689</v>
      </c>
      <c r="G397" s="143" t="s">
        <v>3283</v>
      </c>
      <c r="H397" s="129" t="s">
        <v>3280</v>
      </c>
      <c r="I397" s="129"/>
      <c r="J397" s="175"/>
      <c r="K397" s="118"/>
      <c r="L397" s="118"/>
      <c r="M397" s="118"/>
      <c r="N397" s="118"/>
    </row>
    <row r="398" ht="15.75" customHeight="1">
      <c r="A398" s="88">
        <v>395.0</v>
      </c>
      <c r="B398" s="140">
        <v>45814.0</v>
      </c>
      <c r="C398" s="141" t="s">
        <v>3690</v>
      </c>
      <c r="D398" s="141" t="s">
        <v>3691</v>
      </c>
      <c r="E398" s="135">
        <v>4.372362372E9</v>
      </c>
      <c r="F398" s="172" t="s">
        <v>3692</v>
      </c>
      <c r="G398" s="143" t="s">
        <v>3295</v>
      </c>
      <c r="H398" s="129" t="s">
        <v>3280</v>
      </c>
      <c r="I398" s="136"/>
      <c r="J398" s="175"/>
      <c r="K398" s="118"/>
      <c r="L398" s="118"/>
      <c r="M398" s="118"/>
      <c r="N398" s="118"/>
    </row>
    <row r="399" ht="15.75" customHeight="1">
      <c r="A399" s="88">
        <v>396.0</v>
      </c>
      <c r="B399" s="140">
        <v>45814.0</v>
      </c>
      <c r="C399" s="141" t="s">
        <v>1232</v>
      </c>
      <c r="D399" s="141" t="s">
        <v>2854</v>
      </c>
      <c r="E399" s="135" t="s">
        <v>3693</v>
      </c>
      <c r="F399" s="172" t="s">
        <v>3694</v>
      </c>
      <c r="G399" s="143" t="s">
        <v>3295</v>
      </c>
      <c r="H399" s="129" t="s">
        <v>3280</v>
      </c>
      <c r="I399" s="136"/>
      <c r="J399" s="175"/>
      <c r="K399" s="118"/>
      <c r="L399" s="118"/>
      <c r="M399" s="118"/>
      <c r="N399" s="118"/>
    </row>
    <row r="400" ht="15.75" customHeight="1">
      <c r="A400" s="88">
        <v>397.0</v>
      </c>
      <c r="B400" s="140">
        <v>45815.0</v>
      </c>
      <c r="C400" s="141" t="s">
        <v>3695</v>
      </c>
      <c r="D400" s="141" t="s">
        <v>3696</v>
      </c>
      <c r="E400" s="135">
        <v>4.374248855E9</v>
      </c>
      <c r="F400" s="172" t="s">
        <v>3697</v>
      </c>
      <c r="G400" s="143" t="s">
        <v>3279</v>
      </c>
      <c r="H400" s="129" t="s">
        <v>3280</v>
      </c>
      <c r="I400" s="136"/>
      <c r="J400" s="175"/>
      <c r="K400" s="118"/>
      <c r="L400" s="118"/>
      <c r="M400" s="118"/>
      <c r="N400" s="118"/>
    </row>
    <row r="401" ht="15.75" customHeight="1">
      <c r="A401" s="88">
        <v>398.0</v>
      </c>
      <c r="B401" s="140">
        <v>45816.0</v>
      </c>
      <c r="C401" s="141" t="s">
        <v>3698</v>
      </c>
      <c r="D401" s="141" t="s">
        <v>3699</v>
      </c>
      <c r="E401" s="135">
        <v>4.166069826E9</v>
      </c>
      <c r="F401" s="172" t="s">
        <v>3700</v>
      </c>
      <c r="G401" s="143" t="s">
        <v>3701</v>
      </c>
      <c r="H401" s="129" t="s">
        <v>3280</v>
      </c>
      <c r="I401" s="136"/>
      <c r="J401" s="175"/>
      <c r="K401" s="118"/>
      <c r="L401" s="118"/>
      <c r="M401" s="118"/>
      <c r="N401" s="118"/>
    </row>
    <row r="402" ht="15.75" customHeight="1">
      <c r="A402" s="88">
        <v>399.0</v>
      </c>
      <c r="B402" s="140">
        <v>45817.0</v>
      </c>
      <c r="C402" s="141" t="s">
        <v>3702</v>
      </c>
      <c r="D402" s="141" t="s">
        <v>3703</v>
      </c>
      <c r="E402" s="135" t="s">
        <v>3704</v>
      </c>
      <c r="F402" s="172" t="s">
        <v>3705</v>
      </c>
      <c r="G402" s="143" t="s">
        <v>3283</v>
      </c>
      <c r="H402" s="129" t="s">
        <v>3280</v>
      </c>
      <c r="I402" s="136"/>
      <c r="J402" s="175"/>
      <c r="K402" s="118"/>
      <c r="L402" s="118"/>
      <c r="M402" s="118"/>
      <c r="N402" s="118"/>
    </row>
    <row r="403" ht="15.75" customHeight="1">
      <c r="A403" s="88">
        <v>400.0</v>
      </c>
      <c r="B403" s="140">
        <v>45817.0</v>
      </c>
      <c r="C403" s="141" t="s">
        <v>3706</v>
      </c>
      <c r="D403" s="141" t="s">
        <v>3707</v>
      </c>
      <c r="E403" s="135" t="s">
        <v>3708</v>
      </c>
      <c r="F403" s="172" t="s">
        <v>3709</v>
      </c>
      <c r="G403" s="143" t="s">
        <v>3283</v>
      </c>
      <c r="H403" s="129" t="s">
        <v>3280</v>
      </c>
      <c r="I403" s="136"/>
      <c r="J403" s="175"/>
      <c r="K403" s="118"/>
      <c r="L403" s="118"/>
      <c r="M403" s="118"/>
      <c r="N403" s="118"/>
    </row>
    <row r="404" ht="15.75" customHeight="1">
      <c r="A404" s="88">
        <v>401.0</v>
      </c>
      <c r="B404" s="140">
        <v>45818.0</v>
      </c>
      <c r="C404" s="141" t="s">
        <v>3710</v>
      </c>
      <c r="D404" s="141" t="s">
        <v>3711</v>
      </c>
      <c r="E404" s="135">
        <v>6.479988093E9</v>
      </c>
      <c r="F404" s="176"/>
      <c r="G404" s="143" t="s">
        <v>3299</v>
      </c>
      <c r="H404" s="129" t="s">
        <v>3280</v>
      </c>
      <c r="I404" s="136"/>
      <c r="J404" s="175"/>
      <c r="K404" s="118"/>
      <c r="L404" s="118"/>
      <c r="M404" s="118"/>
      <c r="N404" s="118"/>
    </row>
    <row r="405" ht="15.75" customHeight="1">
      <c r="A405" s="88">
        <v>402.0</v>
      </c>
      <c r="B405" s="140">
        <v>45818.0</v>
      </c>
      <c r="C405" s="141" t="s">
        <v>3712</v>
      </c>
      <c r="D405" s="141" t="s">
        <v>3713</v>
      </c>
      <c r="E405" s="135">
        <v>4.166481915E9</v>
      </c>
      <c r="F405" s="172" t="s">
        <v>3714</v>
      </c>
      <c r="G405" s="143" t="s">
        <v>3374</v>
      </c>
      <c r="H405" s="129" t="s">
        <v>3280</v>
      </c>
      <c r="I405" s="129"/>
      <c r="J405" s="175"/>
      <c r="K405" s="118"/>
      <c r="L405" s="118"/>
      <c r="M405" s="118"/>
      <c r="N405" s="118"/>
    </row>
    <row r="406" ht="15.75" customHeight="1">
      <c r="A406" s="88">
        <v>403.0</v>
      </c>
      <c r="B406" s="140">
        <v>45818.0</v>
      </c>
      <c r="C406" s="141" t="s">
        <v>3715</v>
      </c>
      <c r="D406" s="141" t="s">
        <v>3716</v>
      </c>
      <c r="E406" s="135">
        <v>6.474575141E9</v>
      </c>
      <c r="F406" s="172" t="s">
        <v>3717</v>
      </c>
      <c r="G406" s="143" t="s">
        <v>3319</v>
      </c>
      <c r="H406" s="129" t="s">
        <v>3280</v>
      </c>
      <c r="I406" s="136"/>
      <c r="J406" s="175"/>
      <c r="K406" s="118"/>
      <c r="L406" s="118"/>
      <c r="M406" s="118"/>
      <c r="N406" s="118"/>
    </row>
    <row r="407" ht="15.75" customHeight="1">
      <c r="A407" s="88">
        <v>404.0</v>
      </c>
      <c r="B407" s="140">
        <v>45818.0</v>
      </c>
      <c r="C407" s="141" t="s">
        <v>3718</v>
      </c>
      <c r="D407" s="141" t="s">
        <v>3719</v>
      </c>
      <c r="E407" s="135">
        <v>2.898934345E9</v>
      </c>
      <c r="F407" s="172" t="s">
        <v>3720</v>
      </c>
      <c r="G407" s="143" t="s">
        <v>3374</v>
      </c>
      <c r="H407" s="129" t="s">
        <v>3280</v>
      </c>
      <c r="I407" s="129"/>
      <c r="J407" s="175"/>
      <c r="K407" s="118"/>
      <c r="L407" s="118"/>
      <c r="M407" s="118"/>
      <c r="N407" s="118"/>
    </row>
    <row r="408" ht="15.75" customHeight="1">
      <c r="A408" s="88">
        <v>405.0</v>
      </c>
      <c r="B408" s="140">
        <v>45820.0</v>
      </c>
      <c r="C408" s="141" t="s">
        <v>3721</v>
      </c>
      <c r="D408" s="141" t="s">
        <v>3722</v>
      </c>
      <c r="E408" s="135">
        <v>4.375777451E9</v>
      </c>
      <c r="F408" s="172" t="s">
        <v>3723</v>
      </c>
      <c r="G408" s="143" t="s">
        <v>3283</v>
      </c>
      <c r="H408" s="129" t="s">
        <v>3280</v>
      </c>
      <c r="I408" s="136"/>
      <c r="J408" s="175"/>
      <c r="K408" s="118"/>
      <c r="L408" s="118"/>
      <c r="M408" s="118"/>
      <c r="N408" s="118"/>
    </row>
    <row r="409" ht="15.75" customHeight="1">
      <c r="A409" s="88">
        <v>406.0</v>
      </c>
      <c r="B409" s="140">
        <v>45820.0</v>
      </c>
      <c r="C409" s="141" t="s">
        <v>3724</v>
      </c>
      <c r="D409" s="141" t="s">
        <v>3725</v>
      </c>
      <c r="E409" s="135">
        <v>4.167255056E9</v>
      </c>
      <c r="F409" s="172" t="s">
        <v>3726</v>
      </c>
      <c r="G409" s="143" t="s">
        <v>3727</v>
      </c>
      <c r="H409" s="129" t="s">
        <v>3280</v>
      </c>
      <c r="I409" s="136"/>
      <c r="J409" s="175"/>
      <c r="K409" s="118"/>
      <c r="L409" s="118"/>
      <c r="M409" s="118"/>
      <c r="N409" s="118"/>
    </row>
    <row r="410" ht="15.75" customHeight="1">
      <c r="A410" s="88">
        <v>407.0</v>
      </c>
      <c r="B410" s="140">
        <v>45821.0</v>
      </c>
      <c r="C410" s="141" t="s">
        <v>3728</v>
      </c>
      <c r="D410" s="141" t="s">
        <v>3604</v>
      </c>
      <c r="E410" s="135" t="s">
        <v>3729</v>
      </c>
      <c r="F410" s="172" t="s">
        <v>3730</v>
      </c>
      <c r="G410" s="143" t="s">
        <v>3322</v>
      </c>
      <c r="H410" s="129" t="s">
        <v>3300</v>
      </c>
      <c r="I410" s="136"/>
      <c r="J410" s="175"/>
      <c r="K410" s="118"/>
      <c r="L410" s="118"/>
      <c r="M410" s="118"/>
      <c r="N410" s="118"/>
    </row>
    <row r="411" ht="15.75" customHeight="1">
      <c r="A411" s="88">
        <v>408.0</v>
      </c>
      <c r="B411" s="140">
        <v>45822.0</v>
      </c>
      <c r="C411" s="132" t="s">
        <v>3731</v>
      </c>
      <c r="D411" s="141" t="s">
        <v>3732</v>
      </c>
      <c r="E411" s="135">
        <v>8.147982067E9</v>
      </c>
      <c r="F411" s="172" t="s">
        <v>3733</v>
      </c>
      <c r="G411" s="143" t="s">
        <v>3734</v>
      </c>
      <c r="H411" s="129" t="s">
        <v>3316</v>
      </c>
      <c r="I411" s="129"/>
      <c r="J411" s="175"/>
      <c r="K411" s="118"/>
      <c r="L411" s="118"/>
      <c r="M411" s="118"/>
      <c r="N411" s="118"/>
    </row>
    <row r="412" ht="15.75" customHeight="1">
      <c r="A412" s="88">
        <v>409.0</v>
      </c>
      <c r="B412" s="140">
        <v>45824.0</v>
      </c>
      <c r="C412" s="141" t="s">
        <v>3735</v>
      </c>
      <c r="D412" s="141" t="s">
        <v>3736</v>
      </c>
      <c r="E412" s="135">
        <v>4.47608032E9</v>
      </c>
      <c r="F412" s="172" t="s">
        <v>3737</v>
      </c>
      <c r="G412" s="143" t="s">
        <v>3738</v>
      </c>
      <c r="H412" s="129" t="s">
        <v>3280</v>
      </c>
      <c r="I412" s="136"/>
      <c r="J412" s="175"/>
      <c r="K412" s="118"/>
      <c r="L412" s="118"/>
      <c r="M412" s="118"/>
      <c r="N412" s="118"/>
    </row>
    <row r="413" ht="15.75" customHeight="1">
      <c r="A413" s="88">
        <v>410.0</v>
      </c>
      <c r="B413" s="140">
        <v>45824.0</v>
      </c>
      <c r="C413" s="141" t="s">
        <v>1968</v>
      </c>
      <c r="D413" s="141" t="s">
        <v>3739</v>
      </c>
      <c r="E413" s="135">
        <v>2.899228874E9</v>
      </c>
      <c r="F413" s="172" t="s">
        <v>3740</v>
      </c>
      <c r="G413" s="143" t="s">
        <v>3741</v>
      </c>
      <c r="H413" s="129" t="s">
        <v>3300</v>
      </c>
      <c r="I413" s="136"/>
      <c r="J413" s="175"/>
      <c r="K413" s="118"/>
      <c r="L413" s="118"/>
      <c r="M413" s="118"/>
      <c r="N413" s="118"/>
    </row>
    <row r="414" ht="15.75" customHeight="1">
      <c r="A414" s="88">
        <v>411.0</v>
      </c>
      <c r="B414" s="140">
        <v>45825.0</v>
      </c>
      <c r="C414" s="141" t="s">
        <v>1873</v>
      </c>
      <c r="D414" s="141" t="s">
        <v>3742</v>
      </c>
      <c r="E414" s="135">
        <v>2.892407679E9</v>
      </c>
      <c r="F414" s="172" t="s">
        <v>3743</v>
      </c>
      <c r="G414" s="143" t="s">
        <v>3286</v>
      </c>
      <c r="H414" s="129" t="s">
        <v>3280</v>
      </c>
      <c r="I414" s="136"/>
      <c r="J414" s="175"/>
      <c r="K414" s="118"/>
      <c r="L414" s="118"/>
      <c r="M414" s="118"/>
      <c r="N414" s="118"/>
    </row>
    <row r="415" ht="15.75" customHeight="1">
      <c r="A415" s="88">
        <v>412.0</v>
      </c>
      <c r="B415" s="140">
        <v>45825.0</v>
      </c>
      <c r="C415" s="141" t="s">
        <v>3744</v>
      </c>
      <c r="D415" s="141" t="s">
        <v>3745</v>
      </c>
      <c r="E415" s="135">
        <v>2.893852373E9</v>
      </c>
      <c r="F415" s="172" t="s">
        <v>3746</v>
      </c>
      <c r="G415" s="143" t="s">
        <v>3747</v>
      </c>
      <c r="H415" s="129" t="s">
        <v>3280</v>
      </c>
      <c r="I415" s="136"/>
      <c r="J415" s="175"/>
      <c r="K415" s="118"/>
      <c r="L415" s="118"/>
      <c r="M415" s="118"/>
      <c r="N415" s="118"/>
    </row>
    <row r="416" ht="15.75" customHeight="1">
      <c r="A416" s="88">
        <v>413.0</v>
      </c>
      <c r="B416" s="140">
        <v>45825.0</v>
      </c>
      <c r="C416" s="141" t="s">
        <v>3748</v>
      </c>
      <c r="D416" s="141" t="s">
        <v>3749</v>
      </c>
      <c r="E416" s="135">
        <v>4.378817131E9</v>
      </c>
      <c r="F416" s="172" t="s">
        <v>3750</v>
      </c>
      <c r="G416" s="143" t="s">
        <v>3751</v>
      </c>
      <c r="H416" s="129" t="s">
        <v>3280</v>
      </c>
      <c r="I416" s="136"/>
      <c r="J416" s="175"/>
      <c r="K416" s="118"/>
      <c r="L416" s="118"/>
      <c r="M416" s="118"/>
      <c r="N416" s="118"/>
    </row>
    <row r="417" ht="15.75" customHeight="1">
      <c r="A417" s="88">
        <v>414.0</v>
      </c>
      <c r="B417" s="140">
        <v>45826.0</v>
      </c>
      <c r="C417" s="141" t="s">
        <v>3752</v>
      </c>
      <c r="D417" s="141" t="s">
        <v>2438</v>
      </c>
      <c r="E417" s="135">
        <v>4.372496408E9</v>
      </c>
      <c r="F417" s="172" t="s">
        <v>3753</v>
      </c>
      <c r="G417" s="143" t="s">
        <v>3283</v>
      </c>
      <c r="H417" s="129" t="s">
        <v>3280</v>
      </c>
      <c r="I417" s="136"/>
      <c r="J417" s="175"/>
      <c r="K417" s="118"/>
      <c r="L417" s="118"/>
      <c r="M417" s="118"/>
      <c r="N417" s="118"/>
    </row>
    <row r="418" ht="15.75" customHeight="1">
      <c r="A418" s="88">
        <v>415.0</v>
      </c>
      <c r="B418" s="140">
        <v>45827.0</v>
      </c>
      <c r="C418" s="141" t="s">
        <v>2149</v>
      </c>
      <c r="D418" s="141" t="s">
        <v>3754</v>
      </c>
      <c r="E418" s="135">
        <v>2.899803325E9</v>
      </c>
      <c r="F418" s="172" t="s">
        <v>3755</v>
      </c>
      <c r="G418" s="143" t="s">
        <v>3374</v>
      </c>
      <c r="H418" s="129" t="s">
        <v>3300</v>
      </c>
      <c r="I418" s="136"/>
      <c r="J418" s="175"/>
      <c r="K418" s="118"/>
      <c r="L418" s="118"/>
      <c r="M418" s="118"/>
      <c r="N418" s="118"/>
    </row>
    <row r="419" ht="15.75" customHeight="1">
      <c r="A419" s="88">
        <v>416.0</v>
      </c>
      <c r="B419" s="140">
        <v>45827.0</v>
      </c>
      <c r="C419" s="141" t="s">
        <v>2511</v>
      </c>
      <c r="D419" s="141" t="s">
        <v>3756</v>
      </c>
      <c r="E419" s="135">
        <v>4.312769204E9</v>
      </c>
      <c r="F419" s="172" t="s">
        <v>3757</v>
      </c>
      <c r="G419" s="143" t="s">
        <v>3758</v>
      </c>
      <c r="H419" s="129" t="s">
        <v>3280</v>
      </c>
      <c r="I419" s="136"/>
      <c r="J419" s="175"/>
      <c r="K419" s="118"/>
      <c r="L419" s="118"/>
      <c r="M419" s="118"/>
      <c r="N419" s="118"/>
    </row>
    <row r="420" ht="15.75" customHeight="1">
      <c r="A420" s="88">
        <v>417.0</v>
      </c>
      <c r="B420" s="140">
        <v>45829.0</v>
      </c>
      <c r="C420" s="141" t="s">
        <v>3759</v>
      </c>
      <c r="D420" s="141" t="s">
        <v>3760</v>
      </c>
      <c r="E420" s="135">
        <v>4.168163629E9</v>
      </c>
      <c r="F420" s="172" t="s">
        <v>3761</v>
      </c>
      <c r="G420" s="143" t="s">
        <v>3762</v>
      </c>
      <c r="H420" s="129" t="s">
        <v>3280</v>
      </c>
      <c r="I420" s="136"/>
      <c r="J420" s="175"/>
      <c r="K420" s="118"/>
      <c r="L420" s="118"/>
      <c r="M420" s="118"/>
      <c r="N420" s="118"/>
    </row>
    <row r="421" ht="15.75" customHeight="1">
      <c r="A421" s="88">
        <v>418.0</v>
      </c>
      <c r="B421" s="140">
        <v>45830.0</v>
      </c>
      <c r="C421" s="141" t="s">
        <v>3763</v>
      </c>
      <c r="D421" s="141" t="s">
        <v>3764</v>
      </c>
      <c r="E421" s="135" t="s">
        <v>3765</v>
      </c>
      <c r="F421" s="172" t="s">
        <v>3766</v>
      </c>
      <c r="G421" s="143" t="s">
        <v>3767</v>
      </c>
      <c r="H421" s="129" t="s">
        <v>3300</v>
      </c>
      <c r="I421" s="129"/>
      <c r="J421" s="175"/>
      <c r="K421" s="118"/>
      <c r="L421" s="118"/>
      <c r="M421" s="118"/>
      <c r="N421" s="118"/>
    </row>
    <row r="422" ht="15.75" customHeight="1">
      <c r="A422" s="88">
        <v>419.0</v>
      </c>
      <c r="B422" s="140">
        <v>45830.0</v>
      </c>
      <c r="C422" s="141" t="s">
        <v>3768</v>
      </c>
      <c r="D422" s="141" t="s">
        <v>2286</v>
      </c>
      <c r="E422" s="135">
        <v>2.498775839E9</v>
      </c>
      <c r="F422" s="172" t="s">
        <v>3769</v>
      </c>
      <c r="G422" s="143" t="s">
        <v>3770</v>
      </c>
      <c r="H422" s="129" t="s">
        <v>3300</v>
      </c>
      <c r="I422" s="129"/>
      <c r="J422" s="175"/>
      <c r="K422" s="118"/>
      <c r="L422" s="118"/>
      <c r="M422" s="118"/>
      <c r="N422" s="118"/>
    </row>
    <row r="423" ht="15.75" customHeight="1">
      <c r="A423" s="88">
        <v>420.0</v>
      </c>
      <c r="B423" s="140">
        <v>45830.0</v>
      </c>
      <c r="C423" s="141" t="s">
        <v>3771</v>
      </c>
      <c r="D423" s="141" t="s">
        <v>3772</v>
      </c>
      <c r="E423" s="135" t="s">
        <v>3773</v>
      </c>
      <c r="F423" s="172" t="s">
        <v>3774</v>
      </c>
      <c r="G423" s="143" t="s">
        <v>3775</v>
      </c>
      <c r="H423" s="129" t="s">
        <v>3280</v>
      </c>
      <c r="I423" s="129"/>
      <c r="J423" s="175"/>
      <c r="K423" s="118"/>
      <c r="L423" s="118"/>
      <c r="M423" s="118"/>
      <c r="N423" s="118"/>
    </row>
    <row r="424" ht="15.75" customHeight="1">
      <c r="A424" s="88">
        <v>421.0</v>
      </c>
      <c r="B424" s="140">
        <v>45831.0</v>
      </c>
      <c r="C424" s="141" t="s">
        <v>3776</v>
      </c>
      <c r="D424" s="141" t="s">
        <v>3777</v>
      </c>
      <c r="E424" s="135">
        <v>4.162009046E9</v>
      </c>
      <c r="F424" s="172" t="s">
        <v>3778</v>
      </c>
      <c r="G424" s="143" t="s">
        <v>3779</v>
      </c>
      <c r="H424" s="129" t="s">
        <v>3280</v>
      </c>
      <c r="I424" s="136"/>
      <c r="J424" s="175"/>
      <c r="K424" s="118"/>
      <c r="L424" s="118"/>
      <c r="M424" s="118"/>
      <c r="N424" s="118"/>
    </row>
    <row r="425" ht="15.75" customHeight="1">
      <c r="A425" s="88">
        <v>422.0</v>
      </c>
      <c r="B425" s="140">
        <v>45831.0</v>
      </c>
      <c r="C425" s="141" t="s">
        <v>980</v>
      </c>
      <c r="D425" s="141" t="s">
        <v>980</v>
      </c>
      <c r="E425" s="135"/>
      <c r="F425" s="172" t="s">
        <v>3780</v>
      </c>
      <c r="G425" s="143" t="s">
        <v>3394</v>
      </c>
      <c r="H425" s="129" t="s">
        <v>3280</v>
      </c>
      <c r="I425" s="136"/>
      <c r="J425" s="175"/>
      <c r="K425" s="118"/>
      <c r="L425" s="118"/>
      <c r="M425" s="118"/>
      <c r="N425" s="118"/>
    </row>
    <row r="426" ht="15.75" customHeight="1">
      <c r="A426" s="88">
        <v>423.0</v>
      </c>
      <c r="B426" s="140">
        <v>45832.0</v>
      </c>
      <c r="C426" s="141" t="s">
        <v>914</v>
      </c>
      <c r="D426" s="141" t="s">
        <v>3781</v>
      </c>
      <c r="E426" s="177" t="s">
        <v>3782</v>
      </c>
      <c r="F426" s="172" t="s">
        <v>3783</v>
      </c>
      <c r="G426" s="143" t="s">
        <v>3283</v>
      </c>
      <c r="H426" s="129" t="s">
        <v>3280</v>
      </c>
      <c r="I426" s="136"/>
      <c r="J426" s="175"/>
      <c r="K426" s="118"/>
      <c r="L426" s="118"/>
      <c r="M426" s="118"/>
      <c r="N426" s="118"/>
    </row>
    <row r="427" ht="15.75" customHeight="1">
      <c r="A427" s="88">
        <v>424.0</v>
      </c>
      <c r="B427" s="140">
        <v>45832.0</v>
      </c>
      <c r="C427" s="141" t="s">
        <v>3784</v>
      </c>
      <c r="D427" s="141" t="s">
        <v>3585</v>
      </c>
      <c r="E427" s="177">
        <v>6.474646025E9</v>
      </c>
      <c r="F427" s="172" t="s">
        <v>3785</v>
      </c>
      <c r="G427" s="143" t="s">
        <v>3374</v>
      </c>
      <c r="H427" s="129" t="s">
        <v>3280</v>
      </c>
      <c r="I427" s="136"/>
      <c r="J427" s="175"/>
      <c r="K427" s="118"/>
      <c r="L427" s="118"/>
      <c r="M427" s="118"/>
      <c r="N427" s="118"/>
    </row>
    <row r="428" ht="15.75" customHeight="1">
      <c r="A428" s="88">
        <v>425.0</v>
      </c>
      <c r="B428" s="140">
        <v>45834.0</v>
      </c>
      <c r="C428" s="141" t="s">
        <v>2115</v>
      </c>
      <c r="D428" s="141" t="s">
        <v>1645</v>
      </c>
      <c r="E428" s="177">
        <v>9.635263632E9</v>
      </c>
      <c r="F428" s="172" t="s">
        <v>3786</v>
      </c>
      <c r="G428" s="143" t="s">
        <v>3292</v>
      </c>
      <c r="H428" s="129" t="s">
        <v>3280</v>
      </c>
      <c r="I428" s="136"/>
      <c r="J428" s="175"/>
      <c r="K428" s="118"/>
      <c r="L428" s="118"/>
      <c r="M428" s="118"/>
      <c r="N428" s="118"/>
    </row>
    <row r="429" ht="15.75" customHeight="1">
      <c r="A429" s="88">
        <v>426.0</v>
      </c>
      <c r="B429" s="140">
        <v>45834.0</v>
      </c>
      <c r="C429" s="141" t="s">
        <v>3787</v>
      </c>
      <c r="D429" s="141" t="s">
        <v>3788</v>
      </c>
      <c r="E429" s="177">
        <v>5.195727325E9</v>
      </c>
      <c r="F429" s="172" t="s">
        <v>3789</v>
      </c>
      <c r="G429" s="143" t="s">
        <v>3374</v>
      </c>
      <c r="H429" s="129" t="s">
        <v>3335</v>
      </c>
      <c r="I429" s="129"/>
      <c r="J429" s="175"/>
      <c r="K429" s="118"/>
      <c r="L429" s="118"/>
      <c r="M429" s="118"/>
      <c r="N429" s="118"/>
    </row>
    <row r="430" ht="15.75" customHeight="1">
      <c r="A430" s="88">
        <v>427.0</v>
      </c>
      <c r="B430" s="140">
        <v>45835.0</v>
      </c>
      <c r="C430" s="141" t="s">
        <v>3790</v>
      </c>
      <c r="D430" s="141" t="s">
        <v>29</v>
      </c>
      <c r="E430" s="177">
        <v>4.162783482E9</v>
      </c>
      <c r="F430" s="172" t="s">
        <v>3791</v>
      </c>
      <c r="G430" s="143" t="s">
        <v>3383</v>
      </c>
      <c r="H430" s="129" t="s">
        <v>3335</v>
      </c>
      <c r="I430" s="136"/>
      <c r="J430" s="175"/>
      <c r="K430" s="118"/>
      <c r="L430" s="118"/>
      <c r="M430" s="118"/>
      <c r="N430" s="118"/>
    </row>
    <row r="431" ht="15.75" customHeight="1">
      <c r="A431" s="88">
        <v>428.0</v>
      </c>
      <c r="B431" s="140">
        <v>45836.0</v>
      </c>
      <c r="C431" s="178" t="s">
        <v>3792</v>
      </c>
      <c r="D431" s="178" t="s">
        <v>3793</v>
      </c>
      <c r="E431" s="179">
        <v>2.89992802E9</v>
      </c>
      <c r="F431" s="180" t="s">
        <v>3794</v>
      </c>
      <c r="G431" s="181" t="s">
        <v>3374</v>
      </c>
      <c r="H431" s="181" t="s">
        <v>3280</v>
      </c>
      <c r="I431" s="182"/>
      <c r="J431" s="178"/>
      <c r="K431" s="183"/>
      <c r="L431" s="183"/>
      <c r="M431" s="183"/>
      <c r="N431" s="183"/>
    </row>
    <row r="432" ht="15.75" customHeight="1">
      <c r="A432" s="88">
        <v>429.0</v>
      </c>
      <c r="B432" s="140">
        <v>45836.0</v>
      </c>
      <c r="C432" s="178" t="s">
        <v>3795</v>
      </c>
      <c r="D432" s="178" t="s">
        <v>3796</v>
      </c>
      <c r="E432" s="179">
        <v>4.379835186E9</v>
      </c>
      <c r="F432" s="180" t="s">
        <v>3797</v>
      </c>
      <c r="G432" s="181" t="s">
        <v>3283</v>
      </c>
      <c r="H432" s="181" t="s">
        <v>3280</v>
      </c>
      <c r="I432" s="182"/>
      <c r="J432" s="178"/>
      <c r="K432" s="183"/>
      <c r="L432" s="183"/>
      <c r="M432" s="183"/>
      <c r="N432" s="183"/>
    </row>
    <row r="433" ht="15.75" customHeight="1">
      <c r="A433" s="88">
        <v>430.0</v>
      </c>
      <c r="B433" s="140">
        <v>45836.0</v>
      </c>
      <c r="C433" s="178" t="s">
        <v>3798</v>
      </c>
      <c r="D433" s="178" t="s">
        <v>2854</v>
      </c>
      <c r="E433" s="179">
        <v>6.139703615E9</v>
      </c>
      <c r="F433" s="180" t="s">
        <v>3799</v>
      </c>
      <c r="G433" s="181" t="s">
        <v>2970</v>
      </c>
      <c r="H433" s="182"/>
      <c r="I433" s="182"/>
      <c r="J433" s="178"/>
      <c r="K433" s="183"/>
      <c r="L433" s="183"/>
      <c r="M433" s="183"/>
      <c r="N433" s="183"/>
    </row>
    <row r="434" ht="15.75" customHeight="1">
      <c r="A434" s="88">
        <v>431.0</v>
      </c>
      <c r="B434" s="140">
        <v>45836.0</v>
      </c>
      <c r="C434" s="178" t="s">
        <v>3800</v>
      </c>
      <c r="D434" s="178" t="s">
        <v>1493</v>
      </c>
      <c r="E434" s="179">
        <v>4.379222885E9</v>
      </c>
      <c r="F434" s="180" t="s">
        <v>3801</v>
      </c>
      <c r="G434" s="181" t="s">
        <v>3283</v>
      </c>
      <c r="H434" s="181" t="s">
        <v>3280</v>
      </c>
      <c r="I434" s="182"/>
      <c r="J434" s="184"/>
      <c r="K434" s="183"/>
      <c r="L434" s="183"/>
      <c r="M434" s="183"/>
      <c r="N434" s="183"/>
    </row>
    <row r="435" ht="15.75" customHeight="1">
      <c r="A435" s="88">
        <v>432.0</v>
      </c>
      <c r="B435" s="140">
        <v>45837.0</v>
      </c>
      <c r="C435" s="178" t="s">
        <v>3802</v>
      </c>
      <c r="D435" s="178" t="s">
        <v>3803</v>
      </c>
      <c r="E435" s="179">
        <v>6.473330494E9</v>
      </c>
      <c r="F435" s="180" t="s">
        <v>3804</v>
      </c>
      <c r="G435" s="181" t="s">
        <v>3292</v>
      </c>
      <c r="H435" s="181" t="s">
        <v>3280</v>
      </c>
      <c r="I435" s="182"/>
      <c r="J435" s="184"/>
      <c r="K435" s="183"/>
      <c r="L435" s="183"/>
      <c r="M435" s="183"/>
      <c r="N435" s="183"/>
    </row>
    <row r="436" ht="15.75" customHeight="1">
      <c r="A436" s="88">
        <v>433.0</v>
      </c>
      <c r="B436" s="140">
        <v>45838.0</v>
      </c>
      <c r="C436" s="178" t="s">
        <v>3805</v>
      </c>
      <c r="D436" s="178" t="s">
        <v>3806</v>
      </c>
      <c r="E436" s="179">
        <v>2.896851791E9</v>
      </c>
      <c r="F436" s="180" t="s">
        <v>3807</v>
      </c>
      <c r="G436" s="181" t="s">
        <v>3286</v>
      </c>
      <c r="H436" s="181" t="s">
        <v>3280</v>
      </c>
      <c r="I436" s="182"/>
      <c r="J436" s="184"/>
      <c r="K436" s="183"/>
      <c r="L436" s="183"/>
      <c r="M436" s="183"/>
      <c r="N436" s="183"/>
    </row>
    <row r="437" ht="15.75" customHeight="1">
      <c r="A437" s="88">
        <v>434.0</v>
      </c>
      <c r="B437" s="140">
        <v>45839.0</v>
      </c>
      <c r="C437" s="178" t="s">
        <v>2240</v>
      </c>
      <c r="D437" s="178" t="s">
        <v>3808</v>
      </c>
      <c r="E437" s="179">
        <v>8.194750879E9</v>
      </c>
      <c r="F437" s="180" t="s">
        <v>3809</v>
      </c>
      <c r="G437" s="181" t="s">
        <v>3810</v>
      </c>
      <c r="H437" s="181" t="s">
        <v>3280</v>
      </c>
      <c r="I437" s="181"/>
      <c r="J437" s="178"/>
      <c r="K437" s="183"/>
      <c r="L437" s="183"/>
      <c r="M437" s="183"/>
      <c r="N437" s="183"/>
    </row>
    <row r="438" ht="15.75" customHeight="1">
      <c r="A438" s="88">
        <v>435.0</v>
      </c>
      <c r="B438" s="140">
        <v>45840.0</v>
      </c>
      <c r="C438" s="178" t="s">
        <v>3811</v>
      </c>
      <c r="D438" s="178" t="s">
        <v>3812</v>
      </c>
      <c r="E438" s="179">
        <v>4.376670245E9</v>
      </c>
      <c r="F438" s="180" t="s">
        <v>3813</v>
      </c>
      <c r="G438" s="181" t="s">
        <v>3283</v>
      </c>
      <c r="H438" s="181" t="s">
        <v>3280</v>
      </c>
      <c r="I438" s="181"/>
      <c r="J438" s="178"/>
      <c r="K438" s="183"/>
      <c r="L438" s="183"/>
      <c r="M438" s="183"/>
      <c r="N438" s="183"/>
    </row>
    <row r="439" ht="15.75" customHeight="1">
      <c r="A439" s="88">
        <v>436.0</v>
      </c>
      <c r="B439" s="140">
        <v>45840.0</v>
      </c>
      <c r="C439" s="178" t="s">
        <v>3814</v>
      </c>
      <c r="D439" s="178" t="s">
        <v>3815</v>
      </c>
      <c r="E439" s="185" t="s">
        <v>3816</v>
      </c>
      <c r="F439" s="180" t="s">
        <v>3817</v>
      </c>
      <c r="G439" s="181" t="s">
        <v>3283</v>
      </c>
      <c r="H439" s="182"/>
      <c r="I439" s="181"/>
      <c r="J439" s="178"/>
      <c r="K439" s="183"/>
      <c r="L439" s="183"/>
      <c r="M439" s="183"/>
      <c r="N439" s="183"/>
    </row>
    <row r="440" ht="15.75" customHeight="1">
      <c r="A440" s="88">
        <v>437.0</v>
      </c>
      <c r="B440" s="140">
        <v>45843.0</v>
      </c>
      <c r="C440" s="178" t="s">
        <v>3818</v>
      </c>
      <c r="D440" s="178" t="s">
        <v>3819</v>
      </c>
      <c r="E440" s="179">
        <v>6.475373493E9</v>
      </c>
      <c r="F440" s="180" t="s">
        <v>3820</v>
      </c>
      <c r="G440" s="181" t="s">
        <v>3283</v>
      </c>
      <c r="H440" s="181" t="s">
        <v>3280</v>
      </c>
      <c r="I440" s="182"/>
      <c r="J440" s="178"/>
      <c r="K440" s="183"/>
      <c r="L440" s="183"/>
      <c r="M440" s="183"/>
      <c r="N440" s="183"/>
    </row>
    <row r="441" ht="15.75" customHeight="1">
      <c r="A441" s="88">
        <v>438.0</v>
      </c>
      <c r="B441" s="140">
        <v>45844.0</v>
      </c>
      <c r="C441" s="178" t="s">
        <v>3821</v>
      </c>
      <c r="D441" s="178" t="s">
        <v>3822</v>
      </c>
      <c r="E441" s="179">
        <v>2.265520755E9</v>
      </c>
      <c r="F441" s="180" t="s">
        <v>3823</v>
      </c>
      <c r="G441" s="181" t="s">
        <v>3347</v>
      </c>
      <c r="H441" s="181" t="s">
        <v>3280</v>
      </c>
      <c r="I441" s="181"/>
      <c r="J441" s="178"/>
      <c r="K441" s="183"/>
      <c r="L441" s="183"/>
      <c r="M441" s="183"/>
      <c r="N441" s="183"/>
    </row>
    <row r="442" ht="15.75" customHeight="1">
      <c r="A442" s="88">
        <v>439.0</v>
      </c>
      <c r="B442" s="140">
        <v>45845.0</v>
      </c>
      <c r="C442" s="178" t="s">
        <v>3824</v>
      </c>
      <c r="D442" s="178" t="s">
        <v>3825</v>
      </c>
      <c r="E442" s="185" t="s">
        <v>3826</v>
      </c>
      <c r="F442" s="180" t="s">
        <v>3827</v>
      </c>
      <c r="G442" s="181" t="s">
        <v>3370</v>
      </c>
      <c r="H442" s="181" t="s">
        <v>3280</v>
      </c>
      <c r="I442" s="181"/>
      <c r="J442" s="178"/>
      <c r="K442" s="183"/>
      <c r="L442" s="183"/>
      <c r="M442" s="183"/>
      <c r="N442" s="183"/>
    </row>
    <row r="443" ht="15.75" customHeight="1">
      <c r="A443" s="88">
        <v>440.0</v>
      </c>
      <c r="B443" s="140">
        <v>45846.0</v>
      </c>
      <c r="C443" s="178" t="s">
        <v>3828</v>
      </c>
      <c r="D443" s="178" t="s">
        <v>29</v>
      </c>
      <c r="E443" s="179">
        <v>6.478949669E9</v>
      </c>
      <c r="F443" s="180" t="s">
        <v>3829</v>
      </c>
      <c r="G443" s="181" t="s">
        <v>3295</v>
      </c>
      <c r="H443" s="182"/>
      <c r="I443" s="181"/>
      <c r="J443" s="178"/>
      <c r="K443" s="183"/>
      <c r="L443" s="183"/>
      <c r="M443" s="183"/>
      <c r="N443" s="183"/>
    </row>
    <row r="444" ht="15.75" customHeight="1">
      <c r="A444" s="88">
        <v>441.0</v>
      </c>
      <c r="B444" s="140">
        <v>45847.0</v>
      </c>
      <c r="C444" s="178" t="s">
        <v>3830</v>
      </c>
      <c r="D444" s="178" t="s">
        <v>1367</v>
      </c>
      <c r="E444" s="179">
        <v>9.05525914E9</v>
      </c>
      <c r="F444" s="180" t="s">
        <v>3831</v>
      </c>
      <c r="G444" s="181" t="s">
        <v>3344</v>
      </c>
      <c r="H444" s="181" t="s">
        <v>3280</v>
      </c>
      <c r="I444" s="182"/>
      <c r="J444" s="178"/>
      <c r="K444" s="183"/>
      <c r="L444" s="183"/>
      <c r="M444" s="183"/>
      <c r="N444" s="183"/>
    </row>
    <row r="445" ht="15.75" customHeight="1">
      <c r="A445" s="88">
        <v>442.0</v>
      </c>
      <c r="B445" s="140">
        <v>45847.0</v>
      </c>
      <c r="C445" s="178" t="s">
        <v>3832</v>
      </c>
      <c r="D445" s="178" t="s">
        <v>1352</v>
      </c>
      <c r="E445" s="179">
        <v>4.168796186E9</v>
      </c>
      <c r="F445" s="180" t="s">
        <v>1664</v>
      </c>
      <c r="G445" s="181" t="s">
        <v>3279</v>
      </c>
      <c r="H445" s="181" t="s">
        <v>3300</v>
      </c>
      <c r="I445" s="182"/>
      <c r="J445" s="178"/>
      <c r="K445" s="183"/>
      <c r="L445" s="183"/>
      <c r="M445" s="183"/>
      <c r="N445" s="183"/>
    </row>
    <row r="446" ht="15.75" customHeight="1">
      <c r="A446" s="88">
        <v>443.0</v>
      </c>
      <c r="B446" s="140">
        <v>45849.0</v>
      </c>
      <c r="C446" s="178" t="s">
        <v>3833</v>
      </c>
      <c r="D446" s="132" t="s">
        <v>3834</v>
      </c>
      <c r="E446" s="179">
        <v>4.379813401E9</v>
      </c>
      <c r="F446" s="180" t="s">
        <v>3835</v>
      </c>
      <c r="G446" s="181" t="s">
        <v>3283</v>
      </c>
      <c r="H446" s="181" t="s">
        <v>3280</v>
      </c>
      <c r="I446" s="181"/>
      <c r="J446" s="178"/>
      <c r="K446" s="183"/>
      <c r="L446" s="183"/>
      <c r="M446" s="183"/>
      <c r="N446" s="183"/>
    </row>
    <row r="447" ht="15.75" customHeight="1">
      <c r="A447" s="88">
        <v>444.0</v>
      </c>
      <c r="B447" s="140">
        <v>45850.0</v>
      </c>
      <c r="C447" s="178" t="s">
        <v>3836</v>
      </c>
      <c r="D447" s="178" t="s">
        <v>3837</v>
      </c>
      <c r="E447" s="179">
        <v>4.374336706E9</v>
      </c>
      <c r="F447" s="180" t="s">
        <v>3838</v>
      </c>
      <c r="G447" s="181" t="s">
        <v>3283</v>
      </c>
      <c r="H447" s="181" t="s">
        <v>3280</v>
      </c>
      <c r="I447" s="182"/>
      <c r="J447" s="178"/>
      <c r="K447" s="183"/>
      <c r="L447" s="183"/>
      <c r="M447" s="183"/>
      <c r="N447" s="183"/>
    </row>
    <row r="448" ht="15.75" customHeight="1">
      <c r="A448" s="88">
        <v>445.0</v>
      </c>
      <c r="B448" s="140">
        <v>45851.0</v>
      </c>
      <c r="C448" s="178" t="s">
        <v>3839</v>
      </c>
      <c r="D448" s="178" t="s">
        <v>1978</v>
      </c>
      <c r="E448" s="179">
        <v>7.094587036E9</v>
      </c>
      <c r="F448" s="180" t="s">
        <v>3840</v>
      </c>
      <c r="G448" s="181" t="s">
        <v>3841</v>
      </c>
      <c r="H448" s="181" t="s">
        <v>3280</v>
      </c>
      <c r="I448" s="182"/>
      <c r="J448" s="178"/>
      <c r="K448" s="183"/>
      <c r="L448" s="183"/>
      <c r="M448" s="183"/>
      <c r="N448" s="183"/>
    </row>
    <row r="449" ht="15.75" customHeight="1">
      <c r="A449" s="88">
        <v>446.0</v>
      </c>
      <c r="B449" s="140">
        <v>45851.0</v>
      </c>
      <c r="C449" s="178" t="s">
        <v>3842</v>
      </c>
      <c r="D449" s="178" t="s">
        <v>3843</v>
      </c>
      <c r="E449" s="185" t="s">
        <v>3844</v>
      </c>
      <c r="F449" s="180" t="s">
        <v>3845</v>
      </c>
      <c r="G449" s="181" t="s">
        <v>3347</v>
      </c>
      <c r="H449" s="181" t="s">
        <v>3280</v>
      </c>
      <c r="I449" s="182"/>
      <c r="J449" s="178"/>
      <c r="K449" s="183"/>
      <c r="L449" s="183"/>
      <c r="M449" s="183"/>
      <c r="N449" s="183"/>
    </row>
    <row r="450" ht="15.75" customHeight="1">
      <c r="A450" s="88">
        <v>447.0</v>
      </c>
      <c r="B450" s="140">
        <v>45852.0</v>
      </c>
      <c r="C450" s="178" t="s">
        <v>2074</v>
      </c>
      <c r="D450" s="178" t="s">
        <v>3846</v>
      </c>
      <c r="E450" s="185" t="s">
        <v>3847</v>
      </c>
      <c r="F450" s="180" t="s">
        <v>3848</v>
      </c>
      <c r="G450" s="181" t="s">
        <v>3289</v>
      </c>
      <c r="H450" s="181" t="s">
        <v>3280</v>
      </c>
      <c r="I450" s="182"/>
      <c r="J450" s="178"/>
      <c r="K450" s="183"/>
      <c r="L450" s="183"/>
      <c r="M450" s="183"/>
      <c r="N450" s="183"/>
    </row>
    <row r="451" ht="15.75" customHeight="1">
      <c r="A451" s="88">
        <v>448.0</v>
      </c>
      <c r="B451" s="140">
        <v>45852.0</v>
      </c>
      <c r="C451" s="178" t="s">
        <v>3849</v>
      </c>
      <c r="D451" s="178" t="s">
        <v>3850</v>
      </c>
      <c r="E451" s="179">
        <v>4.168333071E9</v>
      </c>
      <c r="F451" s="180" t="s">
        <v>3851</v>
      </c>
      <c r="G451" s="181" t="s">
        <v>3394</v>
      </c>
      <c r="H451" s="181" t="s">
        <v>3335</v>
      </c>
      <c r="I451" s="182"/>
      <c r="J451" s="178"/>
      <c r="K451" s="183"/>
      <c r="L451" s="183"/>
      <c r="M451" s="183"/>
      <c r="N451" s="183"/>
    </row>
    <row r="452" ht="15.75" customHeight="1">
      <c r="A452" s="88">
        <v>449.0</v>
      </c>
      <c r="B452" s="140">
        <v>45853.0</v>
      </c>
      <c r="C452" s="178" t="s">
        <v>3852</v>
      </c>
      <c r="D452" s="178" t="s">
        <v>1402</v>
      </c>
      <c r="E452" s="179">
        <v>6.479663293E9</v>
      </c>
      <c r="F452" s="180" t="s">
        <v>3853</v>
      </c>
      <c r="G452" s="181" t="s">
        <v>3374</v>
      </c>
      <c r="H452" s="181" t="s">
        <v>3280</v>
      </c>
      <c r="I452" s="182"/>
      <c r="J452" s="178"/>
      <c r="K452" s="183"/>
      <c r="L452" s="183"/>
      <c r="M452" s="183"/>
      <c r="N452" s="183"/>
    </row>
    <row r="453" ht="15.75" customHeight="1">
      <c r="A453" s="88">
        <v>450.0</v>
      </c>
      <c r="B453" s="140">
        <v>45855.0</v>
      </c>
      <c r="C453" s="178" t="s">
        <v>3854</v>
      </c>
      <c r="D453" s="186" t="s">
        <v>3855</v>
      </c>
      <c r="E453" s="179">
        <v>6.47327641E9</v>
      </c>
      <c r="F453" s="180" t="s">
        <v>3856</v>
      </c>
      <c r="G453" s="181" t="s">
        <v>3370</v>
      </c>
      <c r="H453" s="181" t="s">
        <v>3335</v>
      </c>
      <c r="I453" s="182"/>
      <c r="J453" s="178"/>
      <c r="K453" s="183"/>
      <c r="L453" s="183"/>
      <c r="M453" s="183"/>
      <c r="N453" s="183"/>
    </row>
    <row r="454" ht="15.75" customHeight="1">
      <c r="A454" s="88">
        <v>451.0</v>
      </c>
      <c r="B454" s="140">
        <v>45856.0</v>
      </c>
      <c r="C454" s="178" t="s">
        <v>3857</v>
      </c>
      <c r="D454" s="178" t="s">
        <v>3858</v>
      </c>
      <c r="E454" s="185" t="s">
        <v>3859</v>
      </c>
      <c r="F454" s="180" t="s">
        <v>3860</v>
      </c>
      <c r="G454" s="181" t="s">
        <v>3861</v>
      </c>
      <c r="H454" s="181" t="s">
        <v>3280</v>
      </c>
      <c r="I454" s="182"/>
      <c r="J454" s="178"/>
      <c r="K454" s="183"/>
      <c r="L454" s="183"/>
      <c r="M454" s="183"/>
      <c r="N454" s="183"/>
    </row>
    <row r="455" ht="15.75" customHeight="1">
      <c r="A455" s="88">
        <v>452.0</v>
      </c>
      <c r="B455" s="140">
        <v>45856.0</v>
      </c>
      <c r="C455" s="178" t="s">
        <v>1274</v>
      </c>
      <c r="D455" s="178" t="s">
        <v>1275</v>
      </c>
      <c r="E455" s="185" t="s">
        <v>3862</v>
      </c>
      <c r="F455" s="180" t="s">
        <v>3248</v>
      </c>
      <c r="G455" s="181" t="s">
        <v>3370</v>
      </c>
      <c r="H455" s="181" t="s">
        <v>3280</v>
      </c>
      <c r="I455" s="182"/>
      <c r="J455" s="178"/>
      <c r="K455" s="183"/>
      <c r="L455" s="183"/>
      <c r="M455" s="183"/>
      <c r="N455" s="183"/>
    </row>
    <row r="456" ht="15.75" customHeight="1">
      <c r="A456" s="88">
        <v>453.0</v>
      </c>
      <c r="B456" s="140">
        <v>45857.0</v>
      </c>
      <c r="C456" s="178" t="s">
        <v>3863</v>
      </c>
      <c r="D456" s="178" t="s">
        <v>1143</v>
      </c>
      <c r="E456" s="179">
        <v>6.478037752E9</v>
      </c>
      <c r="F456" s="180" t="s">
        <v>3864</v>
      </c>
      <c r="G456" s="181" t="s">
        <v>3289</v>
      </c>
      <c r="H456" s="181" t="s">
        <v>3300</v>
      </c>
      <c r="I456" s="181"/>
      <c r="J456" s="178"/>
      <c r="K456" s="183"/>
      <c r="L456" s="183"/>
      <c r="M456" s="183"/>
      <c r="N456" s="183"/>
    </row>
    <row r="457" ht="15.75" customHeight="1">
      <c r="A457" s="88">
        <v>454.0</v>
      </c>
      <c r="B457" s="140">
        <v>45857.0</v>
      </c>
      <c r="C457" s="178" t="s">
        <v>3865</v>
      </c>
      <c r="D457" s="178" t="s">
        <v>3865</v>
      </c>
      <c r="E457" s="179">
        <v>4.167279062E9</v>
      </c>
      <c r="F457" s="180" t="s">
        <v>3866</v>
      </c>
      <c r="G457" s="181" t="s">
        <v>3383</v>
      </c>
      <c r="H457" s="181" t="s">
        <v>3280</v>
      </c>
      <c r="I457" s="182"/>
      <c r="J457" s="178"/>
      <c r="K457" s="183"/>
      <c r="L457" s="183"/>
      <c r="M457" s="183"/>
      <c r="N457" s="183"/>
    </row>
    <row r="458" ht="15.75" customHeight="1">
      <c r="A458" s="88">
        <v>455.0</v>
      </c>
      <c r="B458" s="140">
        <v>45857.0</v>
      </c>
      <c r="C458" s="178" t="s">
        <v>3867</v>
      </c>
      <c r="D458" s="178" t="s">
        <v>1018</v>
      </c>
      <c r="E458" s="179">
        <v>2.898125533E9</v>
      </c>
      <c r="F458" s="180" t="s">
        <v>3868</v>
      </c>
      <c r="G458" s="181" t="s">
        <v>3394</v>
      </c>
      <c r="H458" s="181" t="s">
        <v>3280</v>
      </c>
      <c r="I458" s="182"/>
      <c r="J458" s="178"/>
      <c r="K458" s="183"/>
      <c r="L458" s="183"/>
      <c r="M458" s="183"/>
      <c r="N458" s="183"/>
    </row>
    <row r="459" ht="15.75" customHeight="1">
      <c r="A459" s="88">
        <v>456.0</v>
      </c>
      <c r="B459" s="140">
        <v>45857.0</v>
      </c>
      <c r="C459" s="178" t="s">
        <v>3869</v>
      </c>
      <c r="D459" s="178" t="s">
        <v>3870</v>
      </c>
      <c r="E459" s="179">
        <v>2.898125534E9</v>
      </c>
      <c r="F459" s="180" t="s">
        <v>3871</v>
      </c>
      <c r="G459" s="181" t="s">
        <v>3279</v>
      </c>
      <c r="H459" s="181" t="s">
        <v>3316</v>
      </c>
      <c r="I459" s="181"/>
      <c r="J459" s="178"/>
      <c r="K459" s="183"/>
      <c r="L459" s="183"/>
      <c r="M459" s="183"/>
      <c r="N459" s="183"/>
    </row>
    <row r="460" ht="15.75" customHeight="1">
      <c r="A460" s="88">
        <v>457.0</v>
      </c>
      <c r="B460" s="140">
        <v>45857.0</v>
      </c>
      <c r="C460" s="178" t="s">
        <v>3872</v>
      </c>
      <c r="D460" s="178" t="s">
        <v>3873</v>
      </c>
      <c r="E460" s="179">
        <v>6.479813304E9</v>
      </c>
      <c r="F460" s="180" t="s">
        <v>3874</v>
      </c>
      <c r="G460" s="181" t="s">
        <v>3283</v>
      </c>
      <c r="H460" s="181" t="s">
        <v>3280</v>
      </c>
      <c r="I460" s="182"/>
      <c r="J460" s="178"/>
      <c r="K460" s="183"/>
      <c r="L460" s="183"/>
      <c r="M460" s="183"/>
      <c r="N460" s="183"/>
    </row>
    <row r="461" ht="15.75" customHeight="1">
      <c r="A461" s="88">
        <v>458.0</v>
      </c>
      <c r="B461" s="140">
        <v>45857.0</v>
      </c>
      <c r="C461" s="178" t="s">
        <v>3875</v>
      </c>
      <c r="D461" s="178" t="s">
        <v>3876</v>
      </c>
      <c r="E461" s="179">
        <v>4.164716508E9</v>
      </c>
      <c r="F461" s="180" t="s">
        <v>3877</v>
      </c>
      <c r="G461" s="181" t="s">
        <v>3286</v>
      </c>
      <c r="H461" s="181" t="s">
        <v>3280</v>
      </c>
      <c r="I461" s="182"/>
      <c r="J461" s="178"/>
      <c r="K461" s="183"/>
      <c r="L461" s="183"/>
      <c r="M461" s="183"/>
      <c r="N461" s="183"/>
    </row>
    <row r="462" ht="15.75" customHeight="1">
      <c r="A462" s="88">
        <v>459.0</v>
      </c>
      <c r="B462" s="140">
        <v>45857.0</v>
      </c>
      <c r="C462" s="178" t="s">
        <v>3878</v>
      </c>
      <c r="D462" s="178" t="s">
        <v>3879</v>
      </c>
      <c r="E462" s="179">
        <v>9.052423734E9</v>
      </c>
      <c r="F462" s="180" t="s">
        <v>3880</v>
      </c>
      <c r="G462" s="181" t="s">
        <v>3286</v>
      </c>
      <c r="H462" s="181" t="s">
        <v>3300</v>
      </c>
      <c r="I462" s="182"/>
      <c r="J462" s="178"/>
      <c r="K462" s="183"/>
      <c r="L462" s="183"/>
      <c r="M462" s="183"/>
      <c r="N462" s="183"/>
    </row>
    <row r="463" ht="15.75" customHeight="1">
      <c r="A463" s="187">
        <v>460.0</v>
      </c>
      <c r="B463" s="188">
        <v>45859.0</v>
      </c>
      <c r="C463" s="189" t="s">
        <v>3881</v>
      </c>
      <c r="D463" s="189" t="s">
        <v>29</v>
      </c>
      <c r="E463" s="190" t="s">
        <v>3882</v>
      </c>
      <c r="F463" s="190" t="s">
        <v>3883</v>
      </c>
      <c r="G463" s="191" t="s">
        <v>3394</v>
      </c>
      <c r="H463" s="191" t="s">
        <v>3280</v>
      </c>
      <c r="I463" s="192"/>
      <c r="J463" s="193"/>
    </row>
    <row r="464" ht="15.75" customHeight="1">
      <c r="A464" s="88">
        <v>461.0</v>
      </c>
      <c r="B464" s="140">
        <v>45859.0</v>
      </c>
      <c r="C464" s="125" t="s">
        <v>3884</v>
      </c>
      <c r="D464" s="125" t="s">
        <v>2438</v>
      </c>
      <c r="E464" s="138" t="s">
        <v>3885</v>
      </c>
      <c r="F464" s="138" t="s">
        <v>3886</v>
      </c>
      <c r="G464" s="194" t="s">
        <v>3283</v>
      </c>
      <c r="H464" s="195" t="s">
        <v>3280</v>
      </c>
      <c r="I464" s="196"/>
    </row>
    <row r="465" ht="15.75" customHeight="1">
      <c r="A465" s="88">
        <v>462.0</v>
      </c>
      <c r="B465" s="140">
        <v>45860.0</v>
      </c>
      <c r="C465" s="125" t="s">
        <v>1130</v>
      </c>
      <c r="D465" s="197" t="s">
        <v>914</v>
      </c>
      <c r="E465" s="138" t="s">
        <v>3887</v>
      </c>
      <c r="F465" s="138" t="s">
        <v>3888</v>
      </c>
      <c r="G465" s="194" t="s">
        <v>3286</v>
      </c>
      <c r="H465" s="195" t="s">
        <v>3280</v>
      </c>
      <c r="I465" s="196"/>
    </row>
    <row r="466" ht="15.75" customHeight="1">
      <c r="A466" s="88">
        <v>463.0</v>
      </c>
      <c r="B466" s="140">
        <v>45860.0</v>
      </c>
      <c r="C466" s="125" t="s">
        <v>3889</v>
      </c>
      <c r="D466" s="197" t="s">
        <v>3890</v>
      </c>
      <c r="E466" s="138" t="s">
        <v>3891</v>
      </c>
      <c r="F466" s="138" t="s">
        <v>3892</v>
      </c>
      <c r="G466" s="194" t="s">
        <v>3893</v>
      </c>
      <c r="H466" s="195" t="s">
        <v>3280</v>
      </c>
      <c r="I466" s="196"/>
    </row>
    <row r="467" ht="15.75" customHeight="1">
      <c r="A467" s="88">
        <v>464.0</v>
      </c>
      <c r="B467" s="140">
        <v>45860.0</v>
      </c>
      <c r="C467" s="125" t="s">
        <v>3894</v>
      </c>
      <c r="D467" s="197" t="s">
        <v>3895</v>
      </c>
      <c r="E467" s="138" t="s">
        <v>3896</v>
      </c>
      <c r="F467" s="138" t="s">
        <v>3897</v>
      </c>
      <c r="G467" s="194" t="s">
        <v>3286</v>
      </c>
      <c r="H467" s="195" t="s">
        <v>3280</v>
      </c>
      <c r="I467" s="196"/>
      <c r="J467" s="178"/>
    </row>
    <row r="468" ht="15.75" customHeight="1">
      <c r="A468" s="88">
        <v>465.0</v>
      </c>
      <c r="B468" s="140">
        <v>45860.0</v>
      </c>
      <c r="C468" s="125" t="s">
        <v>3898</v>
      </c>
      <c r="D468" s="197" t="s">
        <v>3899</v>
      </c>
      <c r="E468" s="138" t="s">
        <v>3900</v>
      </c>
      <c r="F468" s="138" t="s">
        <v>3901</v>
      </c>
      <c r="G468" s="194" t="s">
        <v>3370</v>
      </c>
      <c r="H468" s="195" t="s">
        <v>3280</v>
      </c>
      <c r="I468" s="196"/>
    </row>
    <row r="469" ht="15.75" customHeight="1">
      <c r="A469" s="88">
        <v>466.0</v>
      </c>
      <c r="B469" s="140">
        <v>45861.0</v>
      </c>
      <c r="C469" s="125" t="s">
        <v>3902</v>
      </c>
      <c r="D469" s="125" t="s">
        <v>3903</v>
      </c>
      <c r="E469" s="138" t="s">
        <v>3904</v>
      </c>
      <c r="F469" s="138" t="s">
        <v>3905</v>
      </c>
      <c r="G469" s="194" t="s">
        <v>3906</v>
      </c>
      <c r="H469" s="195" t="s">
        <v>3280</v>
      </c>
      <c r="I469" s="196"/>
    </row>
    <row r="470" ht="15.75" customHeight="1">
      <c r="A470" s="88">
        <v>467.0</v>
      </c>
      <c r="B470" s="140">
        <v>45861.0</v>
      </c>
      <c r="C470" s="125" t="s">
        <v>3907</v>
      </c>
      <c r="D470" s="125" t="s">
        <v>3908</v>
      </c>
      <c r="E470" s="138" t="s">
        <v>3909</v>
      </c>
      <c r="F470" s="138" t="s">
        <v>3910</v>
      </c>
      <c r="G470" s="194" t="s">
        <v>3292</v>
      </c>
      <c r="H470" s="194" t="s">
        <v>3316</v>
      </c>
      <c r="I470" s="196"/>
      <c r="J470" s="178"/>
    </row>
    <row r="471" ht="15.75" customHeight="1">
      <c r="A471" s="88">
        <v>468.0</v>
      </c>
      <c r="B471" s="140">
        <v>45861.0</v>
      </c>
      <c r="C471" s="125" t="s">
        <v>3911</v>
      </c>
      <c r="D471" s="125" t="s">
        <v>3912</v>
      </c>
      <c r="E471" s="138" t="s">
        <v>3913</v>
      </c>
      <c r="F471" s="138" t="s">
        <v>3914</v>
      </c>
      <c r="G471" s="194" t="s">
        <v>3283</v>
      </c>
      <c r="H471" s="194" t="s">
        <v>3280</v>
      </c>
      <c r="I471" s="196"/>
      <c r="J471" s="178"/>
    </row>
    <row r="472" ht="15.75" customHeight="1">
      <c r="A472" s="88">
        <v>469.0</v>
      </c>
      <c r="B472" s="140">
        <v>45862.0</v>
      </c>
      <c r="C472" s="125" t="s">
        <v>3915</v>
      </c>
      <c r="D472" s="125" t="s">
        <v>3916</v>
      </c>
      <c r="E472" s="138" t="s">
        <v>3917</v>
      </c>
      <c r="F472" s="138" t="s">
        <v>3918</v>
      </c>
      <c r="G472" s="194" t="s">
        <v>3319</v>
      </c>
      <c r="H472" s="194" t="s">
        <v>3300</v>
      </c>
      <c r="I472" s="194"/>
    </row>
    <row r="473" ht="15.75" customHeight="1">
      <c r="A473" s="88">
        <v>470.0</v>
      </c>
      <c r="B473" s="140">
        <v>45862.0</v>
      </c>
      <c r="C473" s="125" t="s">
        <v>3919</v>
      </c>
      <c r="D473" s="125" t="s">
        <v>3920</v>
      </c>
      <c r="E473" s="138" t="s">
        <v>3921</v>
      </c>
      <c r="F473" s="138" t="s">
        <v>3922</v>
      </c>
      <c r="G473" s="194" t="s">
        <v>3283</v>
      </c>
      <c r="H473" s="194" t="s">
        <v>3280</v>
      </c>
      <c r="I473" s="196"/>
    </row>
    <row r="474" ht="15.75" customHeight="1">
      <c r="A474" s="88">
        <v>471.0</v>
      </c>
      <c r="B474" s="140">
        <v>45863.0</v>
      </c>
      <c r="C474" s="125" t="s">
        <v>3875</v>
      </c>
      <c r="D474" s="125" t="s">
        <v>3876</v>
      </c>
      <c r="E474" s="138" t="s">
        <v>3923</v>
      </c>
      <c r="F474" s="138" t="s">
        <v>3924</v>
      </c>
      <c r="G474" s="194" t="s">
        <v>3622</v>
      </c>
      <c r="H474" s="194" t="s">
        <v>3280</v>
      </c>
      <c r="I474" s="196"/>
      <c r="J474" s="178"/>
    </row>
    <row r="475" ht="15.75" customHeight="1">
      <c r="A475" s="88">
        <v>472.0</v>
      </c>
      <c r="B475" s="140">
        <v>45865.0</v>
      </c>
      <c r="C475" s="125" t="s">
        <v>3925</v>
      </c>
      <c r="D475" s="125" t="s">
        <v>4</v>
      </c>
      <c r="E475" s="138" t="s">
        <v>3926</v>
      </c>
      <c r="F475" s="138" t="s">
        <v>3927</v>
      </c>
      <c r="G475" s="194" t="s">
        <v>3283</v>
      </c>
      <c r="H475" s="194" t="s">
        <v>3280</v>
      </c>
      <c r="I475" s="196"/>
      <c r="J475" s="178"/>
    </row>
    <row r="476" ht="15.75" customHeight="1">
      <c r="A476" s="88">
        <v>473.0</v>
      </c>
      <c r="B476" s="140">
        <v>45865.0</v>
      </c>
      <c r="C476" s="125" t="s">
        <v>1136</v>
      </c>
      <c r="D476" s="125" t="s">
        <v>3928</v>
      </c>
      <c r="E476" s="138" t="s">
        <v>3929</v>
      </c>
      <c r="F476" s="138" t="s">
        <v>3930</v>
      </c>
      <c r="G476" s="194" t="s">
        <v>3931</v>
      </c>
      <c r="H476" s="194" t="s">
        <v>3280</v>
      </c>
      <c r="I476" s="196"/>
    </row>
    <row r="477" ht="15.75" customHeight="1">
      <c r="A477" s="88">
        <v>474.0</v>
      </c>
      <c r="B477" s="140">
        <v>45865.0</v>
      </c>
      <c r="C477" s="125" t="s">
        <v>3932</v>
      </c>
      <c r="D477" s="125" t="s">
        <v>122</v>
      </c>
      <c r="E477" s="138" t="s">
        <v>3933</v>
      </c>
      <c r="F477" s="138" t="s">
        <v>3934</v>
      </c>
      <c r="G477" s="194" t="s">
        <v>3935</v>
      </c>
      <c r="H477" s="194" t="s">
        <v>3280</v>
      </c>
      <c r="I477" s="196"/>
      <c r="J477" s="178"/>
    </row>
    <row r="478" ht="15.75" customHeight="1">
      <c r="A478" s="88">
        <v>475.0</v>
      </c>
      <c r="B478" s="140">
        <v>45865.0</v>
      </c>
      <c r="C478" s="125" t="s">
        <v>3936</v>
      </c>
      <c r="D478" s="125" t="s">
        <v>3937</v>
      </c>
      <c r="E478" s="138" t="s">
        <v>3938</v>
      </c>
      <c r="F478" s="138" t="s">
        <v>3939</v>
      </c>
      <c r="G478" s="194" t="s">
        <v>3383</v>
      </c>
      <c r="H478" s="194" t="s">
        <v>3280</v>
      </c>
      <c r="I478" s="196"/>
      <c r="J478" s="178"/>
    </row>
    <row r="479" ht="15.75" customHeight="1">
      <c r="A479" s="88">
        <v>476.0</v>
      </c>
      <c r="B479" s="140">
        <v>45866.0</v>
      </c>
      <c r="C479" s="125" t="s">
        <v>2654</v>
      </c>
      <c r="D479" s="125" t="s">
        <v>3940</v>
      </c>
      <c r="E479" s="138" t="s">
        <v>3941</v>
      </c>
      <c r="F479" s="138" t="s">
        <v>3942</v>
      </c>
      <c r="G479" s="194" t="s">
        <v>3295</v>
      </c>
      <c r="H479" s="194" t="s">
        <v>3280</v>
      </c>
      <c r="I479" s="198"/>
    </row>
    <row r="480" ht="15.75" customHeight="1">
      <c r="A480" s="88">
        <v>477.0</v>
      </c>
      <c r="B480" s="140">
        <v>45868.0</v>
      </c>
      <c r="C480" s="125" t="s">
        <v>1851</v>
      </c>
      <c r="D480" s="125" t="s">
        <v>3943</v>
      </c>
      <c r="E480" s="138" t="s">
        <v>3944</v>
      </c>
      <c r="F480" s="138" t="s">
        <v>3945</v>
      </c>
      <c r="G480" s="194" t="s">
        <v>3370</v>
      </c>
      <c r="H480" s="194" t="s">
        <v>3280</v>
      </c>
      <c r="I480" s="196"/>
    </row>
    <row r="481" ht="15.75" customHeight="1">
      <c r="A481" s="88">
        <v>478.0</v>
      </c>
      <c r="B481" s="140">
        <v>45870.0</v>
      </c>
      <c r="C481" s="125" t="s">
        <v>3946</v>
      </c>
      <c r="D481" s="125" t="s">
        <v>3947</v>
      </c>
      <c r="E481" s="138" t="s">
        <v>3948</v>
      </c>
      <c r="F481" s="138" t="s">
        <v>3949</v>
      </c>
      <c r="G481" s="194" t="s">
        <v>3374</v>
      </c>
      <c r="H481" s="194" t="s">
        <v>3280</v>
      </c>
      <c r="I481" s="196"/>
    </row>
    <row r="482" ht="15.75" customHeight="1">
      <c r="A482" s="88">
        <v>479.0</v>
      </c>
      <c r="B482" s="140">
        <v>45872.0</v>
      </c>
      <c r="C482" s="125" t="s">
        <v>3950</v>
      </c>
      <c r="D482" s="125" t="s">
        <v>3951</v>
      </c>
      <c r="E482" s="125">
        <v>4.168751076E9</v>
      </c>
      <c r="F482" s="125" t="s">
        <v>3952</v>
      </c>
      <c r="G482" s="194" t="s">
        <v>3374</v>
      </c>
      <c r="H482" s="194" t="s">
        <v>3335</v>
      </c>
      <c r="I482" s="196"/>
    </row>
    <row r="483" ht="15.75" customHeight="1">
      <c r="A483" s="88">
        <v>480.0</v>
      </c>
      <c r="B483" s="140">
        <v>45872.0</v>
      </c>
      <c r="C483" s="125" t="s">
        <v>3872</v>
      </c>
      <c r="D483" s="125" t="s">
        <v>3873</v>
      </c>
      <c r="E483" s="125">
        <v>6.479813304E9</v>
      </c>
      <c r="F483" s="125" t="s">
        <v>3874</v>
      </c>
      <c r="G483" s="194" t="s">
        <v>3283</v>
      </c>
      <c r="H483" s="194" t="s">
        <v>3280</v>
      </c>
      <c r="I483" s="196"/>
    </row>
    <row r="484" ht="15.75" customHeight="1">
      <c r="A484" s="88">
        <v>481.0</v>
      </c>
      <c r="B484" s="140">
        <v>45873.0</v>
      </c>
      <c r="C484" s="125" t="s">
        <v>3953</v>
      </c>
      <c r="D484" s="125" t="s">
        <v>3954</v>
      </c>
      <c r="E484" s="125">
        <v>6.476376742E9</v>
      </c>
      <c r="F484" s="125" t="s">
        <v>3955</v>
      </c>
      <c r="G484" s="194" t="s">
        <v>3383</v>
      </c>
      <c r="H484" s="194" t="s">
        <v>3280</v>
      </c>
      <c r="I484" s="196"/>
    </row>
    <row r="485" ht="15.75" customHeight="1">
      <c r="A485" s="88">
        <v>482.0</v>
      </c>
      <c r="B485" s="140">
        <v>45873.0</v>
      </c>
      <c r="C485" s="125" t="s">
        <v>3956</v>
      </c>
      <c r="D485" s="125" t="s">
        <v>3957</v>
      </c>
      <c r="E485" s="125">
        <v>4.168937107E9</v>
      </c>
      <c r="F485" s="125" t="s">
        <v>3958</v>
      </c>
      <c r="G485" s="194" t="s">
        <v>3279</v>
      </c>
      <c r="H485" s="194" t="s">
        <v>3280</v>
      </c>
      <c r="I485" s="196"/>
    </row>
    <row r="486" ht="15.75" customHeight="1">
      <c r="A486" s="88">
        <v>483.0</v>
      </c>
      <c r="B486" s="140">
        <v>45873.0</v>
      </c>
      <c r="C486" s="125" t="s">
        <v>3959</v>
      </c>
      <c r="D486" s="125" t="s">
        <v>3960</v>
      </c>
      <c r="E486" s="125">
        <v>6.478311881E9</v>
      </c>
      <c r="F486" s="125" t="s">
        <v>3961</v>
      </c>
      <c r="G486" s="194" t="s">
        <v>3283</v>
      </c>
      <c r="H486" s="194" t="s">
        <v>3280</v>
      </c>
      <c r="I486" s="198"/>
    </row>
    <row r="487" ht="15.75" customHeight="1">
      <c r="A487" s="88">
        <v>484.0</v>
      </c>
      <c r="B487" s="140">
        <v>45874.0</v>
      </c>
      <c r="C487" s="125" t="s">
        <v>1919</v>
      </c>
      <c r="D487" s="125" t="s">
        <v>3962</v>
      </c>
      <c r="E487" s="125">
        <v>4.162761027E9</v>
      </c>
      <c r="F487" s="125" t="s">
        <v>3963</v>
      </c>
      <c r="G487" s="194" t="s">
        <v>3295</v>
      </c>
      <c r="H487" s="194" t="s">
        <v>3300</v>
      </c>
      <c r="I487" s="196"/>
    </row>
    <row r="488" ht="15.75" customHeight="1">
      <c r="A488" s="88">
        <v>485.0</v>
      </c>
      <c r="B488" s="140">
        <v>45874.0</v>
      </c>
      <c r="C488" s="125" t="s">
        <v>3964</v>
      </c>
      <c r="D488" s="125" t="s">
        <v>3965</v>
      </c>
      <c r="E488" s="125">
        <v>4.379918188E9</v>
      </c>
      <c r="F488" s="125" t="s">
        <v>3966</v>
      </c>
      <c r="G488" s="194" t="s">
        <v>3295</v>
      </c>
      <c r="H488" s="194" t="s">
        <v>3280</v>
      </c>
      <c r="I488" s="196"/>
    </row>
    <row r="489" ht="15.75" customHeight="1">
      <c r="A489" s="88">
        <v>486.0</v>
      </c>
      <c r="B489" s="140">
        <v>45874.0</v>
      </c>
      <c r="C489" s="125" t="s">
        <v>3449</v>
      </c>
      <c r="D489" s="125" t="s">
        <v>3967</v>
      </c>
      <c r="E489" s="125" t="s">
        <v>3968</v>
      </c>
      <c r="F489" s="125" t="s">
        <v>3969</v>
      </c>
      <c r="G489" s="194" t="s">
        <v>2179</v>
      </c>
      <c r="H489" s="194" t="s">
        <v>3280</v>
      </c>
      <c r="I489" s="196"/>
    </row>
    <row r="490" ht="15.75" customHeight="1">
      <c r="A490" s="88">
        <v>487.0</v>
      </c>
      <c r="B490" s="140">
        <v>45875.0</v>
      </c>
      <c r="C490" s="125" t="s">
        <v>4</v>
      </c>
      <c r="D490" s="125" t="s">
        <v>3970</v>
      </c>
      <c r="E490" s="125">
        <v>6.478937865E9</v>
      </c>
      <c r="F490" s="125" t="s">
        <v>3971</v>
      </c>
      <c r="G490" s="194" t="s">
        <v>3283</v>
      </c>
      <c r="H490" s="194" t="s">
        <v>3280</v>
      </c>
      <c r="I490" s="198"/>
    </row>
    <row r="491" ht="15.75" customHeight="1">
      <c r="A491" s="88">
        <v>488.0</v>
      </c>
      <c r="B491" s="140">
        <v>45877.0</v>
      </c>
      <c r="C491" s="125" t="s">
        <v>3972</v>
      </c>
      <c r="D491" s="125" t="s">
        <v>3973</v>
      </c>
      <c r="E491" s="125" t="s">
        <v>3974</v>
      </c>
      <c r="F491" s="125" t="s">
        <v>3975</v>
      </c>
      <c r="G491" s="194" t="s">
        <v>3286</v>
      </c>
      <c r="H491" s="194" t="s">
        <v>3280</v>
      </c>
      <c r="I491" s="196"/>
    </row>
    <row r="492" ht="15.75" customHeight="1">
      <c r="A492" s="88">
        <v>489.0</v>
      </c>
      <c r="B492" s="140">
        <v>45878.0</v>
      </c>
      <c r="C492" s="125" t="s">
        <v>1597</v>
      </c>
      <c r="D492" s="125" t="s">
        <v>3976</v>
      </c>
      <c r="E492" s="125" t="s">
        <v>3977</v>
      </c>
      <c r="F492" s="125" t="s">
        <v>3978</v>
      </c>
      <c r="G492" s="194" t="s">
        <v>2970</v>
      </c>
      <c r="H492" s="194" t="s">
        <v>3280</v>
      </c>
      <c r="I492" s="196"/>
    </row>
    <row r="493" ht="15.75" customHeight="1">
      <c r="A493" s="88">
        <v>490.0</v>
      </c>
      <c r="B493" s="140">
        <v>45878.0</v>
      </c>
      <c r="C493" s="125" t="s">
        <v>3979</v>
      </c>
      <c r="D493" s="125" t="s">
        <v>3980</v>
      </c>
      <c r="E493" s="125">
        <v>4.377746337E9</v>
      </c>
      <c r="F493" s="125" t="s">
        <v>3981</v>
      </c>
      <c r="G493" s="194" t="s">
        <v>3279</v>
      </c>
      <c r="H493" s="194" t="s">
        <v>3280</v>
      </c>
      <c r="I493" s="196"/>
    </row>
    <row r="494" ht="15.75" customHeight="1">
      <c r="A494" s="88">
        <v>491.0</v>
      </c>
      <c r="B494" s="140">
        <v>45878.0</v>
      </c>
      <c r="C494" s="125" t="s">
        <v>3982</v>
      </c>
      <c r="D494" s="125" t="s">
        <v>3983</v>
      </c>
      <c r="E494" s="125">
        <v>4.372236141E9</v>
      </c>
      <c r="F494" s="125" t="s">
        <v>3984</v>
      </c>
      <c r="G494" s="194" t="s">
        <v>3370</v>
      </c>
      <c r="H494" s="194" t="s">
        <v>3280</v>
      </c>
      <c r="I494" s="196"/>
    </row>
    <row r="495" ht="15.75" customHeight="1">
      <c r="A495" s="88">
        <v>492.0</v>
      </c>
      <c r="B495" s="140">
        <v>45880.0</v>
      </c>
      <c r="C495" s="125" t="s">
        <v>2654</v>
      </c>
      <c r="D495" s="125" t="s">
        <v>3985</v>
      </c>
      <c r="E495" s="125" t="s">
        <v>3986</v>
      </c>
      <c r="F495" s="125" t="s">
        <v>3987</v>
      </c>
      <c r="G495" s="194" t="s">
        <v>3374</v>
      </c>
      <c r="H495" s="194" t="s">
        <v>3280</v>
      </c>
      <c r="I495" s="198"/>
    </row>
    <row r="496" ht="15.75" customHeight="1">
      <c r="A496" s="88">
        <v>493.0</v>
      </c>
      <c r="B496" s="140">
        <v>45880.0</v>
      </c>
      <c r="C496" s="125" t="s">
        <v>3988</v>
      </c>
      <c r="D496" s="125" t="s">
        <v>1173</v>
      </c>
      <c r="E496" s="125" t="s">
        <v>3989</v>
      </c>
      <c r="F496" s="125" t="s">
        <v>3990</v>
      </c>
      <c r="G496" s="194" t="s">
        <v>3325</v>
      </c>
      <c r="H496" s="194" t="s">
        <v>3280</v>
      </c>
      <c r="I496" s="196"/>
    </row>
    <row r="497" ht="15.75" customHeight="1">
      <c r="A497" s="88">
        <v>494.0</v>
      </c>
      <c r="B497" s="140">
        <v>45882.0</v>
      </c>
      <c r="C497" s="125" t="s">
        <v>3991</v>
      </c>
      <c r="D497" s="125" t="s">
        <v>3992</v>
      </c>
      <c r="E497" s="125">
        <v>6.478919021E9</v>
      </c>
      <c r="F497" s="125" t="s">
        <v>3993</v>
      </c>
      <c r="G497" s="194" t="s">
        <v>3394</v>
      </c>
      <c r="H497" s="194" t="s">
        <v>3280</v>
      </c>
      <c r="I497" s="196"/>
    </row>
    <row r="498" ht="15.75" customHeight="1">
      <c r="A498" s="88">
        <v>495.0</v>
      </c>
      <c r="B498" s="140">
        <v>45882.0</v>
      </c>
      <c r="C498" s="125" t="s">
        <v>3994</v>
      </c>
      <c r="D498" s="125" t="s">
        <v>2854</v>
      </c>
      <c r="E498" s="125">
        <v>6.475640511E9</v>
      </c>
      <c r="F498" s="125" t="s">
        <v>3995</v>
      </c>
      <c r="G498" s="194" t="s">
        <v>3374</v>
      </c>
      <c r="H498" s="194" t="s">
        <v>3280</v>
      </c>
      <c r="I498" s="196"/>
    </row>
    <row r="499" ht="15.75" customHeight="1">
      <c r="A499" s="88">
        <v>496.0</v>
      </c>
      <c r="B499" s="140">
        <v>45883.0</v>
      </c>
      <c r="C499" s="125" t="s">
        <v>3996</v>
      </c>
      <c r="D499" s="125" t="s">
        <v>3997</v>
      </c>
      <c r="E499" s="125">
        <v>4.168175691E9</v>
      </c>
      <c r="F499" s="125" t="s">
        <v>3998</v>
      </c>
      <c r="G499" s="194" t="s">
        <v>3292</v>
      </c>
      <c r="H499" s="194" t="s">
        <v>3316</v>
      </c>
      <c r="I499" s="196"/>
    </row>
    <row r="500" ht="15.75" customHeight="1">
      <c r="A500" s="88">
        <v>497.0</v>
      </c>
      <c r="B500" s="140">
        <v>45883.0</v>
      </c>
      <c r="C500" s="125" t="s">
        <v>3999</v>
      </c>
      <c r="D500" s="125" t="s">
        <v>2989</v>
      </c>
      <c r="E500" s="125">
        <v>9.053022247E9</v>
      </c>
      <c r="F500" s="125" t="s">
        <v>4000</v>
      </c>
      <c r="G500" s="194" t="s">
        <v>3286</v>
      </c>
      <c r="H500" s="194" t="s">
        <v>3280</v>
      </c>
      <c r="I500" s="196"/>
    </row>
    <row r="501" ht="15.75" customHeight="1">
      <c r="A501" s="88">
        <v>498.0</v>
      </c>
      <c r="B501" s="140">
        <v>45883.0</v>
      </c>
      <c r="C501" s="125" t="s">
        <v>4001</v>
      </c>
      <c r="D501" s="125" t="s">
        <v>4002</v>
      </c>
      <c r="E501" s="125">
        <v>6.47563027E9</v>
      </c>
      <c r="F501" s="125" t="s">
        <v>4003</v>
      </c>
      <c r="G501" s="194" t="s">
        <v>4004</v>
      </c>
      <c r="H501" s="194" t="s">
        <v>3280</v>
      </c>
      <c r="I501" s="196"/>
    </row>
    <row r="502" ht="15.75" customHeight="1">
      <c r="A502" s="88">
        <v>499.0</v>
      </c>
      <c r="B502" s="140">
        <v>45901.0</v>
      </c>
      <c r="C502" s="125" t="s">
        <v>4005</v>
      </c>
      <c r="D502" s="125" t="s">
        <v>4006</v>
      </c>
      <c r="E502" s="125">
        <v>9.054210081E9</v>
      </c>
      <c r="F502" s="125" t="s">
        <v>4007</v>
      </c>
      <c r="G502" s="194" t="s">
        <v>4008</v>
      </c>
      <c r="H502" s="194" t="s">
        <v>3280</v>
      </c>
      <c r="I502" s="196"/>
    </row>
    <row r="503" ht="15.75" customHeight="1">
      <c r="A503" s="88">
        <v>500.0</v>
      </c>
      <c r="B503" s="140">
        <v>45909.0</v>
      </c>
      <c r="C503" s="125" t="s">
        <v>4009</v>
      </c>
      <c r="D503" s="125" t="s">
        <v>656</v>
      </c>
      <c r="E503" s="125">
        <v>2.899284442E9</v>
      </c>
      <c r="F503" s="125" t="s">
        <v>4010</v>
      </c>
      <c r="G503" s="194" t="s">
        <v>3286</v>
      </c>
      <c r="H503" s="194" t="s">
        <v>3316</v>
      </c>
      <c r="I503" s="196"/>
    </row>
    <row r="504" ht="15.75" customHeight="1">
      <c r="A504" s="88">
        <v>501.0</v>
      </c>
      <c r="B504" s="140">
        <v>45928.0</v>
      </c>
      <c r="C504" s="125" t="s">
        <v>4011</v>
      </c>
      <c r="D504" s="125" t="s">
        <v>4012</v>
      </c>
      <c r="E504" s="125">
        <v>6.479686494E9</v>
      </c>
      <c r="F504" s="125" t="s">
        <v>4013</v>
      </c>
      <c r="G504" s="194" t="s">
        <v>3279</v>
      </c>
      <c r="H504" s="194" t="s">
        <v>3280</v>
      </c>
      <c r="I504" s="196"/>
    </row>
    <row r="505" ht="15.75" customHeight="1">
      <c r="A505" s="88">
        <v>502.0</v>
      </c>
      <c r="B505" s="140">
        <v>45940.0</v>
      </c>
      <c r="C505" s="125" t="s">
        <v>4005</v>
      </c>
      <c r="D505" s="125" t="s">
        <v>4014</v>
      </c>
      <c r="E505" s="125">
        <v>9.054210081E9</v>
      </c>
      <c r="F505" s="125" t="s">
        <v>4007</v>
      </c>
      <c r="G505" s="194" t="s">
        <v>4015</v>
      </c>
      <c r="H505" s="194" t="s">
        <v>3280</v>
      </c>
      <c r="I505" s="196"/>
    </row>
    <row r="506" ht="15.75" customHeight="1">
      <c r="A506" s="88">
        <v>503.0</v>
      </c>
      <c r="B506" s="140">
        <v>45973.0</v>
      </c>
      <c r="C506" s="125" t="s">
        <v>4016</v>
      </c>
      <c r="D506" s="125" t="s">
        <v>7</v>
      </c>
      <c r="E506" s="125">
        <v>4.168778183E9</v>
      </c>
      <c r="F506" s="125" t="s">
        <v>4017</v>
      </c>
      <c r="G506" s="194" t="s">
        <v>3292</v>
      </c>
      <c r="H506" s="194" t="s">
        <v>3335</v>
      </c>
      <c r="I506" s="199"/>
    </row>
    <row r="507" ht="15.75" customHeight="1">
      <c r="G507" s="196"/>
      <c r="H507" s="196"/>
      <c r="I507" s="196"/>
    </row>
    <row r="508" ht="15.75" customHeight="1">
      <c r="G508" s="196"/>
      <c r="H508" s="196"/>
      <c r="I508" s="196"/>
    </row>
    <row r="509" ht="15.75" customHeight="1">
      <c r="G509" s="196"/>
      <c r="H509" s="196"/>
      <c r="I509" s="196"/>
    </row>
    <row r="510" ht="15.75" customHeight="1">
      <c r="G510" s="196"/>
      <c r="H510" s="196"/>
      <c r="I510" s="196"/>
    </row>
    <row r="511" ht="15.75" customHeight="1">
      <c r="G511" s="196"/>
      <c r="H511" s="196"/>
      <c r="I511" s="196"/>
    </row>
    <row r="512" ht="15.75" customHeight="1">
      <c r="G512" s="196"/>
      <c r="H512" s="196"/>
      <c r="I512" s="196"/>
    </row>
    <row r="513" ht="15.75" customHeight="1">
      <c r="G513" s="196"/>
      <c r="H513" s="196"/>
      <c r="I513" s="196"/>
    </row>
    <row r="514" ht="15.75" customHeight="1">
      <c r="G514" s="196"/>
      <c r="H514" s="196"/>
      <c r="I514" s="196"/>
    </row>
    <row r="515" ht="15.75" customHeight="1">
      <c r="G515" s="196"/>
      <c r="H515" s="196"/>
      <c r="I515" s="196"/>
    </row>
    <row r="516" ht="15.75" customHeight="1">
      <c r="G516" s="196"/>
      <c r="H516" s="196"/>
      <c r="I516" s="196"/>
    </row>
    <row r="517" ht="15.75" customHeight="1">
      <c r="G517" s="196"/>
      <c r="H517" s="196"/>
      <c r="I517" s="196"/>
    </row>
    <row r="518" ht="15.75" customHeight="1">
      <c r="G518" s="196"/>
      <c r="H518" s="196"/>
      <c r="I518" s="196"/>
    </row>
    <row r="519" ht="15.75" customHeight="1">
      <c r="G519" s="196"/>
      <c r="H519" s="196"/>
      <c r="I519" s="196"/>
    </row>
    <row r="520" ht="15.75" customHeight="1">
      <c r="G520" s="196"/>
      <c r="H520" s="196"/>
      <c r="I520" s="196"/>
    </row>
    <row r="521" ht="15.75" customHeight="1">
      <c r="G521" s="196"/>
      <c r="H521" s="196"/>
      <c r="I521" s="196"/>
    </row>
    <row r="522" ht="15.75" customHeight="1">
      <c r="G522" s="196"/>
      <c r="H522" s="196"/>
      <c r="I522" s="196"/>
    </row>
    <row r="523" ht="15.75" customHeight="1">
      <c r="G523" s="196"/>
      <c r="H523" s="196"/>
      <c r="I523" s="196"/>
    </row>
    <row r="524" ht="15.75" customHeight="1">
      <c r="G524" s="196"/>
      <c r="H524" s="196"/>
      <c r="I524" s="196"/>
    </row>
    <row r="525" ht="15.75" customHeight="1">
      <c r="G525" s="196"/>
      <c r="H525" s="196"/>
      <c r="I525" s="196"/>
    </row>
    <row r="526" ht="15.75" customHeight="1">
      <c r="G526" s="196"/>
      <c r="H526" s="196"/>
      <c r="I526" s="196"/>
    </row>
    <row r="527" ht="15.75" customHeight="1">
      <c r="G527" s="196"/>
      <c r="H527" s="196"/>
      <c r="I527" s="196"/>
    </row>
    <row r="528" ht="15.75" customHeight="1">
      <c r="G528" s="196"/>
      <c r="H528" s="196"/>
      <c r="I528" s="196"/>
    </row>
    <row r="529" ht="15.75" customHeight="1">
      <c r="G529" s="196"/>
      <c r="H529" s="196"/>
      <c r="I529" s="196"/>
    </row>
    <row r="530" ht="15.75" customHeight="1">
      <c r="G530" s="196"/>
      <c r="H530" s="196"/>
      <c r="I530" s="196"/>
    </row>
    <row r="531" ht="15.75" customHeight="1">
      <c r="G531" s="196"/>
      <c r="H531" s="196"/>
      <c r="I531" s="196"/>
    </row>
    <row r="532" ht="15.75" customHeight="1">
      <c r="G532" s="196"/>
      <c r="H532" s="196"/>
      <c r="I532" s="196"/>
    </row>
    <row r="533" ht="15.75" customHeight="1">
      <c r="G533" s="196"/>
      <c r="H533" s="196"/>
      <c r="I533" s="196"/>
    </row>
    <row r="534" ht="15.75" customHeight="1">
      <c r="G534" s="196"/>
      <c r="H534" s="196"/>
      <c r="I534" s="196"/>
    </row>
    <row r="535" ht="15.75" customHeight="1">
      <c r="G535" s="196"/>
      <c r="H535" s="196"/>
      <c r="I535" s="196"/>
    </row>
    <row r="536" ht="15.75" customHeight="1">
      <c r="G536" s="196"/>
      <c r="H536" s="196"/>
      <c r="I536" s="196"/>
    </row>
    <row r="537" ht="15.75" customHeight="1">
      <c r="G537" s="196"/>
      <c r="H537" s="196"/>
      <c r="I537" s="196"/>
    </row>
    <row r="538" ht="15.75" customHeight="1">
      <c r="G538" s="196"/>
      <c r="H538" s="196"/>
      <c r="I538" s="196"/>
    </row>
    <row r="539" ht="15.75" customHeight="1">
      <c r="G539" s="196"/>
      <c r="H539" s="196"/>
      <c r="I539" s="196"/>
    </row>
    <row r="540" ht="15.75" customHeight="1">
      <c r="G540" s="196"/>
      <c r="H540" s="196"/>
      <c r="I540" s="196"/>
    </row>
    <row r="541" ht="15.75" customHeight="1">
      <c r="G541" s="196"/>
      <c r="H541" s="196"/>
      <c r="I541" s="196"/>
    </row>
    <row r="542" ht="15.75" customHeight="1">
      <c r="G542" s="196"/>
      <c r="H542" s="196"/>
      <c r="I542" s="196"/>
    </row>
    <row r="543" ht="15.75" customHeight="1">
      <c r="G543" s="196"/>
      <c r="H543" s="196"/>
      <c r="I543" s="196"/>
    </row>
    <row r="544" ht="15.75" customHeight="1">
      <c r="G544" s="196"/>
      <c r="H544" s="196"/>
      <c r="I544" s="196"/>
    </row>
    <row r="545" ht="15.75" customHeight="1">
      <c r="G545" s="196"/>
      <c r="H545" s="196"/>
      <c r="I545" s="196"/>
    </row>
    <row r="546" ht="15.75" customHeight="1">
      <c r="G546" s="196"/>
      <c r="H546" s="196"/>
      <c r="I546" s="196"/>
    </row>
    <row r="547" ht="15.75" customHeight="1">
      <c r="G547" s="196"/>
      <c r="H547" s="196"/>
      <c r="I547" s="196"/>
    </row>
    <row r="548" ht="15.75" customHeight="1">
      <c r="G548" s="196"/>
      <c r="H548" s="196"/>
      <c r="I548" s="196"/>
    </row>
    <row r="549" ht="15.75" customHeight="1">
      <c r="G549" s="196"/>
      <c r="H549" s="196"/>
      <c r="I549" s="196"/>
    </row>
    <row r="550" ht="15.75" customHeight="1">
      <c r="G550" s="196"/>
      <c r="H550" s="196"/>
      <c r="I550" s="196"/>
    </row>
    <row r="551" ht="15.75" customHeight="1">
      <c r="G551" s="196"/>
      <c r="H551" s="196"/>
      <c r="I551" s="196"/>
    </row>
    <row r="552" ht="15.75" customHeight="1">
      <c r="G552" s="196"/>
      <c r="H552" s="196"/>
      <c r="I552" s="196"/>
    </row>
    <row r="553" ht="15.75" customHeight="1">
      <c r="G553" s="196"/>
      <c r="H553" s="196"/>
      <c r="I553" s="196"/>
    </row>
    <row r="554" ht="15.75" customHeight="1">
      <c r="G554" s="196"/>
      <c r="H554" s="196"/>
      <c r="I554" s="196"/>
    </row>
    <row r="555" ht="15.75" customHeight="1">
      <c r="G555" s="196"/>
      <c r="H555" s="196"/>
      <c r="I555" s="196"/>
    </row>
    <row r="556" ht="15.75" customHeight="1">
      <c r="G556" s="196"/>
      <c r="H556" s="196"/>
      <c r="I556" s="196"/>
    </row>
    <row r="557" ht="15.75" customHeight="1">
      <c r="G557" s="196"/>
      <c r="H557" s="196"/>
      <c r="I557" s="196"/>
    </row>
    <row r="558" ht="15.75" customHeight="1">
      <c r="G558" s="196"/>
      <c r="H558" s="196"/>
      <c r="I558" s="196"/>
    </row>
    <row r="559" ht="15.75" customHeight="1">
      <c r="G559" s="196"/>
      <c r="H559" s="196"/>
      <c r="I559" s="196"/>
    </row>
    <row r="560" ht="15.75" customHeight="1">
      <c r="G560" s="196"/>
      <c r="H560" s="196"/>
      <c r="I560" s="196"/>
    </row>
    <row r="561" ht="15.75" customHeight="1">
      <c r="G561" s="196"/>
      <c r="H561" s="196"/>
      <c r="I561" s="196"/>
    </row>
    <row r="562" ht="15.75" customHeight="1">
      <c r="G562" s="196"/>
      <c r="H562" s="196"/>
      <c r="I562" s="196"/>
    </row>
    <row r="563" ht="15.75" customHeight="1">
      <c r="G563" s="196"/>
      <c r="H563" s="196"/>
      <c r="I563" s="196"/>
    </row>
    <row r="564" ht="15.75" customHeight="1">
      <c r="G564" s="196"/>
      <c r="H564" s="196"/>
      <c r="I564" s="196"/>
    </row>
    <row r="565" ht="15.75" customHeight="1">
      <c r="G565" s="196"/>
      <c r="H565" s="196"/>
      <c r="I565" s="196"/>
    </row>
    <row r="566" ht="15.75" customHeight="1">
      <c r="G566" s="196"/>
      <c r="H566" s="196"/>
      <c r="I566" s="196"/>
    </row>
    <row r="567" ht="15.75" customHeight="1">
      <c r="G567" s="196"/>
      <c r="H567" s="196"/>
      <c r="I567" s="196"/>
    </row>
    <row r="568" ht="15.75" customHeight="1">
      <c r="G568" s="196"/>
      <c r="H568" s="196"/>
      <c r="I568" s="196"/>
    </row>
    <row r="569" ht="15.75" customHeight="1">
      <c r="G569" s="196"/>
      <c r="H569" s="196"/>
      <c r="I569" s="196"/>
    </row>
    <row r="570" ht="15.75" customHeight="1">
      <c r="G570" s="196"/>
      <c r="H570" s="196"/>
      <c r="I570" s="196"/>
    </row>
    <row r="571" ht="15.75" customHeight="1">
      <c r="G571" s="196"/>
      <c r="H571" s="196"/>
      <c r="I571" s="196"/>
    </row>
    <row r="572" ht="15.75" customHeight="1">
      <c r="G572" s="196"/>
      <c r="H572" s="196"/>
      <c r="I572" s="196"/>
    </row>
    <row r="573" ht="15.75" customHeight="1">
      <c r="G573" s="196"/>
      <c r="H573" s="196"/>
      <c r="I573" s="196"/>
    </row>
    <row r="574" ht="15.75" customHeight="1">
      <c r="G574" s="196"/>
      <c r="H574" s="196"/>
      <c r="I574" s="196"/>
    </row>
    <row r="575" ht="15.75" customHeight="1">
      <c r="G575" s="196"/>
      <c r="H575" s="196"/>
      <c r="I575" s="196"/>
    </row>
    <row r="576" ht="15.75" customHeight="1">
      <c r="G576" s="196"/>
      <c r="H576" s="196"/>
      <c r="I576" s="196"/>
    </row>
    <row r="577" ht="15.75" customHeight="1">
      <c r="G577" s="196"/>
      <c r="H577" s="196"/>
      <c r="I577" s="196"/>
    </row>
    <row r="578" ht="15.75" customHeight="1">
      <c r="G578" s="196"/>
      <c r="H578" s="196"/>
      <c r="I578" s="196"/>
    </row>
    <row r="579" ht="15.75" customHeight="1">
      <c r="G579" s="196"/>
      <c r="H579" s="196"/>
      <c r="I579" s="196"/>
    </row>
    <row r="580" ht="15.75" customHeight="1">
      <c r="G580" s="196"/>
      <c r="H580" s="196"/>
      <c r="I580" s="196"/>
    </row>
    <row r="581" ht="15.75" customHeight="1">
      <c r="G581" s="196"/>
      <c r="H581" s="196"/>
      <c r="I581" s="196"/>
    </row>
    <row r="582" ht="15.75" customHeight="1">
      <c r="G582" s="196"/>
      <c r="H582" s="196"/>
      <c r="I582" s="196"/>
    </row>
    <row r="583" ht="15.75" customHeight="1">
      <c r="G583" s="196"/>
      <c r="H583" s="196"/>
      <c r="I583" s="196"/>
    </row>
    <row r="584" ht="15.75" customHeight="1">
      <c r="G584" s="196"/>
      <c r="H584" s="196"/>
      <c r="I584" s="196"/>
    </row>
    <row r="585" ht="15.75" customHeight="1">
      <c r="G585" s="196"/>
      <c r="H585" s="196"/>
      <c r="I585" s="196"/>
    </row>
    <row r="586" ht="15.75" customHeight="1">
      <c r="G586" s="196"/>
      <c r="H586" s="196"/>
      <c r="I586" s="196"/>
    </row>
    <row r="587" ht="15.75" customHeight="1">
      <c r="G587" s="196"/>
      <c r="H587" s="196"/>
      <c r="I587" s="196"/>
    </row>
    <row r="588" ht="15.75" customHeight="1">
      <c r="G588" s="196"/>
      <c r="H588" s="196"/>
      <c r="I588" s="196"/>
    </row>
    <row r="589" ht="15.75" customHeight="1">
      <c r="G589" s="196"/>
      <c r="H589" s="196"/>
      <c r="I589" s="196"/>
    </row>
    <row r="590" ht="15.75" customHeight="1">
      <c r="G590" s="196"/>
      <c r="H590" s="196"/>
      <c r="I590" s="196"/>
    </row>
    <row r="591" ht="15.75" customHeight="1">
      <c r="G591" s="196"/>
      <c r="H591" s="196"/>
      <c r="I591" s="196"/>
    </row>
    <row r="592" ht="15.75" customHeight="1">
      <c r="G592" s="196"/>
      <c r="H592" s="196"/>
      <c r="I592" s="196"/>
    </row>
    <row r="593" ht="15.75" customHeight="1">
      <c r="G593" s="196"/>
      <c r="H593" s="196"/>
      <c r="I593" s="196"/>
    </row>
    <row r="594" ht="15.75" customHeight="1">
      <c r="G594" s="196"/>
      <c r="H594" s="196"/>
      <c r="I594" s="196"/>
    </row>
    <row r="595" ht="15.75" customHeight="1">
      <c r="G595" s="196"/>
      <c r="H595" s="196"/>
      <c r="I595" s="196"/>
    </row>
    <row r="596" ht="15.75" customHeight="1">
      <c r="G596" s="196"/>
      <c r="H596" s="196"/>
      <c r="I596" s="196"/>
    </row>
    <row r="597" ht="15.75" customHeight="1">
      <c r="G597" s="196"/>
      <c r="H597" s="196"/>
      <c r="I597" s="196"/>
    </row>
    <row r="598" ht="15.75" customHeight="1">
      <c r="G598" s="196"/>
      <c r="H598" s="196"/>
      <c r="I598" s="196"/>
    </row>
    <row r="599" ht="15.75" customHeight="1">
      <c r="G599" s="196"/>
      <c r="H599" s="196"/>
      <c r="I599" s="196"/>
    </row>
    <row r="600" ht="15.75" customHeight="1">
      <c r="G600" s="196"/>
      <c r="H600" s="196"/>
      <c r="I600" s="196"/>
    </row>
    <row r="601" ht="15.75" customHeight="1">
      <c r="G601" s="196"/>
      <c r="H601" s="196"/>
      <c r="I601" s="196"/>
    </row>
    <row r="602" ht="15.75" customHeight="1">
      <c r="G602" s="196"/>
      <c r="H602" s="196"/>
      <c r="I602" s="196"/>
    </row>
    <row r="603" ht="15.75" customHeight="1">
      <c r="G603" s="196"/>
      <c r="H603" s="196"/>
      <c r="I603" s="196"/>
    </row>
    <row r="604" ht="15.75" customHeight="1">
      <c r="G604" s="196"/>
      <c r="H604" s="196"/>
      <c r="I604" s="196"/>
    </row>
    <row r="605" ht="15.75" customHeight="1">
      <c r="G605" s="196"/>
      <c r="H605" s="196"/>
      <c r="I605" s="196"/>
    </row>
    <row r="606" ht="15.75" customHeight="1">
      <c r="G606" s="196"/>
      <c r="H606" s="196"/>
      <c r="I606" s="196"/>
    </row>
    <row r="607" ht="15.75" customHeight="1">
      <c r="G607" s="196"/>
      <c r="H607" s="196"/>
      <c r="I607" s="196"/>
    </row>
    <row r="608" ht="15.75" customHeight="1">
      <c r="G608" s="196"/>
      <c r="H608" s="196"/>
      <c r="I608" s="196"/>
    </row>
    <row r="609" ht="15.75" customHeight="1">
      <c r="G609" s="196"/>
      <c r="H609" s="196"/>
      <c r="I609" s="196"/>
    </row>
    <row r="610" ht="15.75" customHeight="1">
      <c r="G610" s="196"/>
      <c r="H610" s="196"/>
      <c r="I610" s="196"/>
    </row>
    <row r="611" ht="15.75" customHeight="1">
      <c r="G611" s="196"/>
      <c r="H611" s="196"/>
      <c r="I611" s="196"/>
    </row>
    <row r="612" ht="15.75" customHeight="1">
      <c r="G612" s="196"/>
      <c r="H612" s="196"/>
      <c r="I612" s="196"/>
    </row>
    <row r="613" ht="15.75" customHeight="1">
      <c r="G613" s="196"/>
      <c r="H613" s="196"/>
      <c r="I613" s="196"/>
    </row>
    <row r="614" ht="15.75" customHeight="1">
      <c r="G614" s="196"/>
      <c r="H614" s="196"/>
      <c r="I614" s="196"/>
    </row>
    <row r="615" ht="15.75" customHeight="1">
      <c r="G615" s="196"/>
      <c r="H615" s="196"/>
      <c r="I615" s="196"/>
    </row>
    <row r="616" ht="15.75" customHeight="1">
      <c r="G616" s="196"/>
      <c r="H616" s="196"/>
      <c r="I616" s="196"/>
    </row>
    <row r="617" ht="15.75" customHeight="1">
      <c r="G617" s="196"/>
      <c r="H617" s="196"/>
      <c r="I617" s="196"/>
    </row>
    <row r="618" ht="15.75" customHeight="1">
      <c r="G618" s="196"/>
      <c r="H618" s="196"/>
      <c r="I618" s="196"/>
    </row>
    <row r="619" ht="15.75" customHeight="1">
      <c r="G619" s="196"/>
      <c r="H619" s="196"/>
      <c r="I619" s="196"/>
    </row>
    <row r="620" ht="15.75" customHeight="1">
      <c r="G620" s="196"/>
      <c r="H620" s="196"/>
      <c r="I620" s="196"/>
    </row>
    <row r="621" ht="15.75" customHeight="1">
      <c r="G621" s="196"/>
      <c r="H621" s="196"/>
      <c r="I621" s="196"/>
    </row>
    <row r="622" ht="15.75" customHeight="1">
      <c r="G622" s="196"/>
      <c r="H622" s="196"/>
      <c r="I622" s="196"/>
    </row>
    <row r="623" ht="15.75" customHeight="1">
      <c r="G623" s="196"/>
      <c r="H623" s="196"/>
      <c r="I623" s="196"/>
    </row>
    <row r="624" ht="15.75" customHeight="1">
      <c r="G624" s="196"/>
      <c r="H624" s="196"/>
      <c r="I624" s="196"/>
    </row>
    <row r="625" ht="15.75" customHeight="1">
      <c r="G625" s="196"/>
      <c r="H625" s="196"/>
      <c r="I625" s="196"/>
    </row>
    <row r="626" ht="15.75" customHeight="1">
      <c r="G626" s="196"/>
      <c r="H626" s="196"/>
      <c r="I626" s="196"/>
    </row>
    <row r="627" ht="15.75" customHeight="1">
      <c r="G627" s="196"/>
      <c r="H627" s="196"/>
      <c r="I627" s="196"/>
    </row>
    <row r="628" ht="15.75" customHeight="1">
      <c r="G628" s="196"/>
      <c r="H628" s="196"/>
      <c r="I628" s="196"/>
    </row>
    <row r="629" ht="15.75" customHeight="1">
      <c r="G629" s="196"/>
      <c r="H629" s="196"/>
      <c r="I629" s="196"/>
    </row>
    <row r="630" ht="15.75" customHeight="1">
      <c r="G630" s="196"/>
      <c r="H630" s="196"/>
      <c r="I630" s="196"/>
    </row>
    <row r="631" ht="15.75" customHeight="1">
      <c r="G631" s="196"/>
      <c r="H631" s="196"/>
      <c r="I631" s="196"/>
    </row>
    <row r="632" ht="15.75" customHeight="1">
      <c r="G632" s="196"/>
      <c r="H632" s="196"/>
      <c r="I632" s="196"/>
    </row>
    <row r="633" ht="15.75" customHeight="1">
      <c r="G633" s="196"/>
      <c r="H633" s="196"/>
      <c r="I633" s="196"/>
    </row>
    <row r="634" ht="15.75" customHeight="1">
      <c r="G634" s="196"/>
      <c r="H634" s="196"/>
      <c r="I634" s="196"/>
    </row>
    <row r="635" ht="15.75" customHeight="1">
      <c r="G635" s="196"/>
      <c r="H635" s="196"/>
      <c r="I635" s="196"/>
    </row>
    <row r="636" ht="15.75" customHeight="1">
      <c r="G636" s="196"/>
      <c r="H636" s="196"/>
      <c r="I636" s="196"/>
    </row>
    <row r="637" ht="15.75" customHeight="1">
      <c r="G637" s="196"/>
      <c r="H637" s="196"/>
      <c r="I637" s="196"/>
    </row>
    <row r="638" ht="15.75" customHeight="1">
      <c r="G638" s="196"/>
      <c r="H638" s="196"/>
      <c r="I638" s="196"/>
    </row>
    <row r="639" ht="15.75" customHeight="1">
      <c r="G639" s="196"/>
      <c r="H639" s="196"/>
      <c r="I639" s="196"/>
    </row>
    <row r="640" ht="15.75" customHeight="1">
      <c r="G640" s="196"/>
      <c r="H640" s="196"/>
      <c r="I640" s="196"/>
    </row>
    <row r="641" ht="15.75" customHeight="1">
      <c r="G641" s="196"/>
      <c r="H641" s="196"/>
      <c r="I641" s="196"/>
    </row>
    <row r="642" ht="15.75" customHeight="1">
      <c r="G642" s="196"/>
      <c r="H642" s="196"/>
      <c r="I642" s="196"/>
    </row>
    <row r="643" ht="15.75" customHeight="1">
      <c r="G643" s="196"/>
      <c r="H643" s="196"/>
      <c r="I643" s="196"/>
    </row>
    <row r="644" ht="15.75" customHeight="1">
      <c r="G644" s="196"/>
      <c r="H644" s="196"/>
      <c r="I644" s="196"/>
    </row>
    <row r="645" ht="15.75" customHeight="1">
      <c r="G645" s="196"/>
      <c r="H645" s="196"/>
      <c r="I645" s="196"/>
    </row>
    <row r="646" ht="15.75" customHeight="1">
      <c r="G646" s="196"/>
      <c r="H646" s="196"/>
      <c r="I646" s="196"/>
    </row>
    <row r="647" ht="15.75" customHeight="1">
      <c r="G647" s="196"/>
      <c r="H647" s="196"/>
      <c r="I647" s="196"/>
    </row>
    <row r="648" ht="15.75" customHeight="1">
      <c r="G648" s="196"/>
      <c r="H648" s="196"/>
      <c r="I648" s="196"/>
    </row>
    <row r="649" ht="15.75" customHeight="1">
      <c r="G649" s="196"/>
      <c r="H649" s="196"/>
      <c r="I649" s="196"/>
    </row>
    <row r="650" ht="15.75" customHeight="1">
      <c r="G650" s="196"/>
      <c r="H650" s="196"/>
      <c r="I650" s="196"/>
    </row>
    <row r="651" ht="15.75" customHeight="1">
      <c r="G651" s="196"/>
      <c r="H651" s="196"/>
      <c r="I651" s="196"/>
    </row>
    <row r="652" ht="15.75" customHeight="1">
      <c r="G652" s="196"/>
      <c r="H652" s="196"/>
      <c r="I652" s="196"/>
    </row>
    <row r="653" ht="15.75" customHeight="1">
      <c r="G653" s="196"/>
      <c r="H653" s="196"/>
      <c r="I653" s="196"/>
    </row>
    <row r="654" ht="15.75" customHeight="1">
      <c r="G654" s="196"/>
      <c r="H654" s="196"/>
      <c r="I654" s="196"/>
    </row>
    <row r="655" ht="15.75" customHeight="1">
      <c r="G655" s="196"/>
      <c r="H655" s="196"/>
      <c r="I655" s="196"/>
    </row>
    <row r="656" ht="15.75" customHeight="1">
      <c r="G656" s="196"/>
      <c r="H656" s="196"/>
      <c r="I656" s="196"/>
    </row>
    <row r="657" ht="15.75" customHeight="1">
      <c r="G657" s="196"/>
      <c r="H657" s="196"/>
      <c r="I657" s="196"/>
    </row>
    <row r="658" ht="15.75" customHeight="1">
      <c r="G658" s="196"/>
      <c r="H658" s="196"/>
      <c r="I658" s="196"/>
    </row>
    <row r="659" ht="15.75" customHeight="1">
      <c r="G659" s="196"/>
      <c r="H659" s="196"/>
      <c r="I659" s="196"/>
    </row>
    <row r="660" ht="15.75" customHeight="1">
      <c r="G660" s="196"/>
      <c r="H660" s="196"/>
      <c r="I660" s="196"/>
    </row>
    <row r="661" ht="15.75" customHeight="1">
      <c r="G661" s="196"/>
      <c r="H661" s="196"/>
      <c r="I661" s="196"/>
    </row>
    <row r="662" ht="15.75" customHeight="1">
      <c r="G662" s="196"/>
      <c r="H662" s="196"/>
      <c r="I662" s="196"/>
    </row>
    <row r="663" ht="15.75" customHeight="1">
      <c r="G663" s="196"/>
      <c r="H663" s="196"/>
      <c r="I663" s="196"/>
    </row>
    <row r="664" ht="15.75" customHeight="1">
      <c r="G664" s="196"/>
      <c r="H664" s="196"/>
      <c r="I664" s="196"/>
    </row>
    <row r="665" ht="15.75" customHeight="1">
      <c r="G665" s="196"/>
      <c r="H665" s="196"/>
      <c r="I665" s="196"/>
    </row>
    <row r="666" ht="15.75" customHeight="1">
      <c r="G666" s="196"/>
      <c r="H666" s="196"/>
      <c r="I666" s="196"/>
    </row>
    <row r="667" ht="15.75" customHeight="1">
      <c r="G667" s="196"/>
      <c r="H667" s="196"/>
      <c r="I667" s="196"/>
    </row>
    <row r="668" ht="15.75" customHeight="1">
      <c r="G668" s="196"/>
      <c r="H668" s="196"/>
      <c r="I668" s="196"/>
    </row>
    <row r="669" ht="15.75" customHeight="1">
      <c r="G669" s="196"/>
      <c r="H669" s="196"/>
      <c r="I669" s="196"/>
    </row>
    <row r="670" ht="15.75" customHeight="1">
      <c r="G670" s="196"/>
      <c r="H670" s="196"/>
      <c r="I670" s="196"/>
    </row>
    <row r="671" ht="15.75" customHeight="1">
      <c r="G671" s="196"/>
      <c r="H671" s="196"/>
      <c r="I671" s="196"/>
    </row>
    <row r="672" ht="15.75" customHeight="1">
      <c r="G672" s="196"/>
      <c r="H672" s="196"/>
      <c r="I672" s="196"/>
    </row>
    <row r="673" ht="15.75" customHeight="1">
      <c r="G673" s="196"/>
      <c r="H673" s="196"/>
      <c r="I673" s="196"/>
    </row>
    <row r="674" ht="15.75" customHeight="1">
      <c r="G674" s="196"/>
      <c r="H674" s="196"/>
      <c r="I674" s="196"/>
    </row>
    <row r="675" ht="15.75" customHeight="1">
      <c r="G675" s="196"/>
      <c r="H675" s="196"/>
      <c r="I675" s="196"/>
    </row>
    <row r="676" ht="15.75" customHeight="1">
      <c r="G676" s="196"/>
      <c r="H676" s="196"/>
      <c r="I676" s="196"/>
    </row>
    <row r="677" ht="15.75" customHeight="1">
      <c r="G677" s="196"/>
      <c r="H677" s="196"/>
      <c r="I677" s="196"/>
    </row>
    <row r="678" ht="15.75" customHeight="1">
      <c r="G678" s="196"/>
      <c r="H678" s="196"/>
      <c r="I678" s="196"/>
    </row>
    <row r="679" ht="15.75" customHeight="1">
      <c r="G679" s="196"/>
      <c r="H679" s="196"/>
      <c r="I679" s="196"/>
    </row>
    <row r="680" ht="15.75" customHeight="1">
      <c r="G680" s="196"/>
      <c r="H680" s="196"/>
      <c r="I680" s="196"/>
    </row>
    <row r="681" ht="15.75" customHeight="1">
      <c r="G681" s="196"/>
      <c r="H681" s="196"/>
      <c r="I681" s="196"/>
    </row>
    <row r="682" ht="15.75" customHeight="1">
      <c r="G682" s="196"/>
      <c r="H682" s="196"/>
      <c r="I682" s="196"/>
    </row>
    <row r="683" ht="15.75" customHeight="1">
      <c r="G683" s="196"/>
      <c r="H683" s="196"/>
      <c r="I683" s="196"/>
    </row>
    <row r="684" ht="15.75" customHeight="1">
      <c r="G684" s="196"/>
      <c r="H684" s="196"/>
      <c r="I684" s="196"/>
    </row>
    <row r="685" ht="15.75" customHeight="1">
      <c r="G685" s="196"/>
      <c r="H685" s="196"/>
      <c r="I685" s="196"/>
    </row>
    <row r="686" ht="15.75" customHeight="1">
      <c r="G686" s="196"/>
      <c r="H686" s="196"/>
      <c r="I686" s="196"/>
    </row>
    <row r="687" ht="15.75" customHeight="1">
      <c r="G687" s="196"/>
      <c r="H687" s="196"/>
      <c r="I687" s="196"/>
    </row>
    <row r="688" ht="15.75" customHeight="1">
      <c r="G688" s="196"/>
      <c r="H688" s="196"/>
      <c r="I688" s="196"/>
    </row>
    <row r="689" ht="15.75" customHeight="1">
      <c r="G689" s="196"/>
      <c r="H689" s="196"/>
      <c r="I689" s="196"/>
    </row>
    <row r="690" ht="15.75" customHeight="1">
      <c r="G690" s="196"/>
      <c r="H690" s="196"/>
      <c r="I690" s="196"/>
    </row>
    <row r="691" ht="15.75" customHeight="1">
      <c r="G691" s="196"/>
      <c r="H691" s="196"/>
      <c r="I691" s="196"/>
    </row>
    <row r="692" ht="15.75" customHeight="1">
      <c r="G692" s="196"/>
      <c r="H692" s="196"/>
      <c r="I692" s="196"/>
    </row>
    <row r="693" ht="15.75" customHeight="1">
      <c r="G693" s="196"/>
      <c r="H693" s="196"/>
      <c r="I693" s="196"/>
    </row>
    <row r="694" ht="15.75" customHeight="1">
      <c r="G694" s="196"/>
      <c r="H694" s="196"/>
      <c r="I694" s="196"/>
    </row>
    <row r="695" ht="15.75" customHeight="1">
      <c r="G695" s="196"/>
      <c r="H695" s="196"/>
      <c r="I695" s="196"/>
    </row>
    <row r="696" ht="15.75" customHeight="1">
      <c r="G696" s="196"/>
      <c r="H696" s="196"/>
      <c r="I696" s="196"/>
    </row>
    <row r="697" ht="15.75" customHeight="1">
      <c r="G697" s="196"/>
      <c r="H697" s="196"/>
      <c r="I697" s="196"/>
    </row>
    <row r="698" ht="15.75" customHeight="1">
      <c r="G698" s="196"/>
      <c r="H698" s="196"/>
      <c r="I698" s="196"/>
    </row>
    <row r="699" ht="15.75" customHeight="1">
      <c r="G699" s="196"/>
      <c r="H699" s="196"/>
      <c r="I699" s="196"/>
    </row>
    <row r="700" ht="15.75" customHeight="1">
      <c r="G700" s="196"/>
      <c r="H700" s="196"/>
      <c r="I700" s="196"/>
    </row>
    <row r="701" ht="15.75" customHeight="1">
      <c r="G701" s="196"/>
      <c r="H701" s="196"/>
      <c r="I701" s="196"/>
    </row>
    <row r="702" ht="15.75" customHeight="1">
      <c r="G702" s="196"/>
      <c r="H702" s="196"/>
      <c r="I702" s="196"/>
    </row>
    <row r="703" ht="15.75" customHeight="1">
      <c r="G703" s="196"/>
      <c r="H703" s="196"/>
      <c r="I703" s="196"/>
    </row>
    <row r="704" ht="15.75" customHeight="1">
      <c r="G704" s="196"/>
      <c r="H704" s="196"/>
      <c r="I704" s="196"/>
    </row>
    <row r="705" ht="15.75" customHeight="1">
      <c r="G705" s="196"/>
      <c r="H705" s="196"/>
      <c r="I705" s="196"/>
    </row>
    <row r="706" ht="15.75" customHeight="1">
      <c r="G706" s="196"/>
      <c r="H706" s="196"/>
      <c r="I706" s="196"/>
    </row>
    <row r="707" ht="15.75" customHeight="1">
      <c r="G707" s="196"/>
      <c r="H707" s="196"/>
      <c r="I707" s="196"/>
    </row>
    <row r="708" ht="15.75" customHeight="1">
      <c r="G708" s="196"/>
      <c r="H708" s="196"/>
      <c r="I708" s="196"/>
    </row>
    <row r="709" ht="15.75" customHeight="1">
      <c r="G709" s="196"/>
      <c r="H709" s="196"/>
      <c r="I709" s="196"/>
    </row>
    <row r="710" ht="15.75" customHeight="1">
      <c r="G710" s="196"/>
      <c r="H710" s="196"/>
      <c r="I710" s="196"/>
    </row>
    <row r="711" ht="15.75" customHeight="1">
      <c r="G711" s="196"/>
      <c r="H711" s="196"/>
      <c r="I711" s="196"/>
    </row>
    <row r="712" ht="15.75" customHeight="1">
      <c r="G712" s="196"/>
      <c r="H712" s="196"/>
      <c r="I712" s="196"/>
    </row>
    <row r="713" ht="15.75" customHeight="1">
      <c r="G713" s="196"/>
      <c r="H713" s="196"/>
      <c r="I713" s="196"/>
    </row>
    <row r="714" ht="15.75" customHeight="1">
      <c r="G714" s="196"/>
      <c r="H714" s="196"/>
      <c r="I714" s="196"/>
    </row>
    <row r="715" ht="15.75" customHeight="1">
      <c r="G715" s="196"/>
      <c r="H715" s="196"/>
      <c r="I715" s="196"/>
    </row>
    <row r="716" ht="15.75" customHeight="1">
      <c r="G716" s="196"/>
      <c r="H716" s="196"/>
      <c r="I716" s="196"/>
    </row>
    <row r="717" ht="15.75" customHeight="1">
      <c r="G717" s="196"/>
      <c r="H717" s="196"/>
      <c r="I717" s="196"/>
    </row>
    <row r="718" ht="15.75" customHeight="1">
      <c r="G718" s="196"/>
      <c r="H718" s="196"/>
      <c r="I718" s="196"/>
    </row>
    <row r="719" ht="15.75" customHeight="1">
      <c r="G719" s="196"/>
      <c r="H719" s="196"/>
      <c r="I719" s="196"/>
    </row>
    <row r="720" ht="15.75" customHeight="1">
      <c r="G720" s="196"/>
      <c r="H720" s="196"/>
      <c r="I720" s="196"/>
    </row>
    <row r="721" ht="15.75" customHeight="1">
      <c r="G721" s="196"/>
      <c r="H721" s="196"/>
      <c r="I721" s="196"/>
    </row>
    <row r="722" ht="15.75" customHeight="1">
      <c r="G722" s="196"/>
      <c r="H722" s="196"/>
      <c r="I722" s="196"/>
    </row>
    <row r="723" ht="15.75" customHeight="1">
      <c r="G723" s="196"/>
      <c r="H723" s="196"/>
      <c r="I723" s="196"/>
    </row>
    <row r="724" ht="15.75" customHeight="1">
      <c r="G724" s="196"/>
      <c r="H724" s="196"/>
      <c r="I724" s="196"/>
    </row>
    <row r="725" ht="15.75" customHeight="1">
      <c r="G725" s="196"/>
      <c r="H725" s="196"/>
      <c r="I725" s="196"/>
    </row>
    <row r="726" ht="15.75" customHeight="1">
      <c r="G726" s="196"/>
      <c r="H726" s="196"/>
      <c r="I726" s="196"/>
    </row>
    <row r="727" ht="15.75" customHeight="1">
      <c r="G727" s="196"/>
      <c r="H727" s="196"/>
      <c r="I727" s="196"/>
    </row>
    <row r="728" ht="15.75" customHeight="1">
      <c r="G728" s="196"/>
      <c r="H728" s="196"/>
      <c r="I728" s="196"/>
    </row>
    <row r="729" ht="15.75" customHeight="1">
      <c r="G729" s="196"/>
      <c r="H729" s="196"/>
      <c r="I729" s="196"/>
    </row>
    <row r="730" ht="15.75" customHeight="1">
      <c r="G730" s="196"/>
      <c r="H730" s="196"/>
      <c r="I730" s="196"/>
    </row>
    <row r="731" ht="15.75" customHeight="1">
      <c r="G731" s="196"/>
      <c r="H731" s="196"/>
      <c r="I731" s="196"/>
    </row>
    <row r="732" ht="15.75" customHeight="1">
      <c r="G732" s="196"/>
      <c r="H732" s="196"/>
      <c r="I732" s="196"/>
    </row>
    <row r="733" ht="15.75" customHeight="1">
      <c r="G733" s="196"/>
      <c r="H733" s="196"/>
      <c r="I733" s="196"/>
    </row>
    <row r="734" ht="15.75" customHeight="1">
      <c r="G734" s="196"/>
      <c r="H734" s="196"/>
      <c r="I734" s="196"/>
    </row>
    <row r="735" ht="15.75" customHeight="1">
      <c r="G735" s="196"/>
      <c r="H735" s="196"/>
      <c r="I735" s="196"/>
    </row>
    <row r="736" ht="15.75" customHeight="1">
      <c r="G736" s="196"/>
      <c r="H736" s="196"/>
      <c r="I736" s="196"/>
    </row>
    <row r="737" ht="15.75" customHeight="1">
      <c r="G737" s="196"/>
      <c r="H737" s="196"/>
      <c r="I737" s="196"/>
    </row>
    <row r="738" ht="15.75" customHeight="1">
      <c r="G738" s="196"/>
      <c r="H738" s="196"/>
      <c r="I738" s="196"/>
    </row>
    <row r="739" ht="15.75" customHeight="1">
      <c r="G739" s="196"/>
      <c r="H739" s="196"/>
      <c r="I739" s="196"/>
    </row>
    <row r="740" ht="15.75" customHeight="1">
      <c r="G740" s="196"/>
      <c r="H740" s="196"/>
      <c r="I740" s="196"/>
    </row>
    <row r="741" ht="15.75" customHeight="1">
      <c r="G741" s="196"/>
      <c r="H741" s="196"/>
      <c r="I741" s="196"/>
    </row>
    <row r="742" ht="15.75" customHeight="1">
      <c r="G742" s="196"/>
      <c r="H742" s="196"/>
      <c r="I742" s="196"/>
    </row>
    <row r="743" ht="15.75" customHeight="1">
      <c r="G743" s="196"/>
      <c r="H743" s="196"/>
      <c r="I743" s="196"/>
    </row>
    <row r="744" ht="15.75" customHeight="1">
      <c r="G744" s="196"/>
      <c r="H744" s="196"/>
      <c r="I744" s="196"/>
    </row>
    <row r="745" ht="15.75" customHeight="1">
      <c r="G745" s="196"/>
      <c r="H745" s="196"/>
      <c r="I745" s="196"/>
    </row>
    <row r="746" ht="15.75" customHeight="1">
      <c r="G746" s="196"/>
      <c r="H746" s="196"/>
      <c r="I746" s="196"/>
    </row>
    <row r="747" ht="15.75" customHeight="1">
      <c r="G747" s="196"/>
      <c r="H747" s="196"/>
      <c r="I747" s="196"/>
    </row>
    <row r="748" ht="15.75" customHeight="1">
      <c r="G748" s="196"/>
      <c r="H748" s="196"/>
      <c r="I748" s="196"/>
    </row>
    <row r="749" ht="15.75" customHeight="1">
      <c r="G749" s="196"/>
      <c r="H749" s="196"/>
      <c r="I749" s="196"/>
    </row>
    <row r="750" ht="15.75" customHeight="1">
      <c r="G750" s="196"/>
      <c r="H750" s="196"/>
      <c r="I750" s="196"/>
    </row>
    <row r="751" ht="15.75" customHeight="1">
      <c r="G751" s="196"/>
      <c r="H751" s="196"/>
      <c r="I751" s="196"/>
    </row>
    <row r="752" ht="15.75" customHeight="1">
      <c r="G752" s="196"/>
      <c r="H752" s="196"/>
      <c r="I752" s="196"/>
    </row>
    <row r="753" ht="15.75" customHeight="1">
      <c r="G753" s="196"/>
      <c r="H753" s="196"/>
      <c r="I753" s="196"/>
    </row>
    <row r="754" ht="15.75" customHeight="1">
      <c r="G754" s="196"/>
      <c r="H754" s="196"/>
      <c r="I754" s="196"/>
    </row>
    <row r="755" ht="15.75" customHeight="1">
      <c r="G755" s="196"/>
      <c r="H755" s="196"/>
      <c r="I755" s="196"/>
    </row>
    <row r="756" ht="15.75" customHeight="1">
      <c r="G756" s="196"/>
      <c r="H756" s="196"/>
      <c r="I756" s="196"/>
    </row>
    <row r="757" ht="15.75" customHeight="1">
      <c r="G757" s="196"/>
      <c r="H757" s="196"/>
      <c r="I757" s="196"/>
    </row>
    <row r="758" ht="15.75" customHeight="1">
      <c r="G758" s="196"/>
      <c r="H758" s="196"/>
      <c r="I758" s="196"/>
    </row>
    <row r="759" ht="15.75" customHeight="1">
      <c r="G759" s="196"/>
      <c r="H759" s="196"/>
      <c r="I759" s="196"/>
    </row>
    <row r="760" ht="15.75" customHeight="1">
      <c r="G760" s="196"/>
      <c r="H760" s="196"/>
      <c r="I760" s="196"/>
    </row>
    <row r="761" ht="15.75" customHeight="1">
      <c r="G761" s="196"/>
      <c r="H761" s="196"/>
      <c r="I761" s="196"/>
    </row>
    <row r="762" ht="15.75" customHeight="1">
      <c r="G762" s="196"/>
      <c r="H762" s="196"/>
      <c r="I762" s="196"/>
    </row>
    <row r="763" ht="15.75" customHeight="1">
      <c r="G763" s="196"/>
      <c r="H763" s="196"/>
      <c r="I763" s="196"/>
    </row>
    <row r="764" ht="15.75" customHeight="1">
      <c r="G764" s="196"/>
      <c r="H764" s="196"/>
      <c r="I764" s="196"/>
    </row>
    <row r="765" ht="15.75" customHeight="1">
      <c r="G765" s="196"/>
      <c r="H765" s="196"/>
      <c r="I765" s="196"/>
    </row>
    <row r="766" ht="15.75" customHeight="1">
      <c r="G766" s="196"/>
      <c r="H766" s="196"/>
      <c r="I766" s="196"/>
    </row>
    <row r="767" ht="15.75" customHeight="1">
      <c r="G767" s="196"/>
      <c r="H767" s="196"/>
      <c r="I767" s="196"/>
    </row>
    <row r="768" ht="15.75" customHeight="1">
      <c r="G768" s="196"/>
      <c r="H768" s="196"/>
      <c r="I768" s="196"/>
    </row>
    <row r="769" ht="15.75" customHeight="1">
      <c r="G769" s="196"/>
      <c r="H769" s="196"/>
      <c r="I769" s="196"/>
    </row>
    <row r="770" ht="15.75" customHeight="1">
      <c r="G770" s="196"/>
      <c r="H770" s="196"/>
      <c r="I770" s="196"/>
    </row>
    <row r="771" ht="15.75" customHeight="1">
      <c r="G771" s="196"/>
      <c r="H771" s="196"/>
      <c r="I771" s="196"/>
    </row>
    <row r="772" ht="15.75" customHeight="1">
      <c r="G772" s="196"/>
      <c r="H772" s="196"/>
      <c r="I772" s="196"/>
    </row>
    <row r="773" ht="15.75" customHeight="1">
      <c r="G773" s="196"/>
      <c r="H773" s="196"/>
      <c r="I773" s="196"/>
    </row>
    <row r="774" ht="15.75" customHeight="1">
      <c r="G774" s="196"/>
      <c r="H774" s="196"/>
      <c r="I774" s="196"/>
    </row>
    <row r="775" ht="15.75" customHeight="1">
      <c r="G775" s="196"/>
      <c r="H775" s="196"/>
      <c r="I775" s="196"/>
    </row>
    <row r="776" ht="15.75" customHeight="1">
      <c r="G776" s="196"/>
      <c r="H776" s="196"/>
      <c r="I776" s="196"/>
    </row>
    <row r="777" ht="15.75" customHeight="1">
      <c r="G777" s="196"/>
      <c r="H777" s="196"/>
      <c r="I777" s="196"/>
    </row>
    <row r="778" ht="15.75" customHeight="1">
      <c r="G778" s="196"/>
      <c r="H778" s="196"/>
      <c r="I778" s="196"/>
    </row>
    <row r="779" ht="15.75" customHeight="1">
      <c r="G779" s="196"/>
      <c r="H779" s="196"/>
      <c r="I779" s="196"/>
    </row>
    <row r="780" ht="15.75" customHeight="1">
      <c r="G780" s="196"/>
      <c r="H780" s="196"/>
      <c r="I780" s="196"/>
    </row>
    <row r="781" ht="15.75" customHeight="1">
      <c r="G781" s="196"/>
      <c r="H781" s="196"/>
      <c r="I781" s="196"/>
    </row>
    <row r="782" ht="15.75" customHeight="1">
      <c r="G782" s="196"/>
      <c r="H782" s="196"/>
      <c r="I782" s="196"/>
    </row>
    <row r="783" ht="15.75" customHeight="1">
      <c r="G783" s="196"/>
      <c r="H783" s="196"/>
      <c r="I783" s="196"/>
    </row>
    <row r="784" ht="15.75" customHeight="1">
      <c r="G784" s="196"/>
      <c r="H784" s="196"/>
      <c r="I784" s="196"/>
    </row>
    <row r="785" ht="15.75" customHeight="1">
      <c r="G785" s="196"/>
      <c r="H785" s="196"/>
      <c r="I785" s="196"/>
    </row>
    <row r="786" ht="15.75" customHeight="1">
      <c r="G786" s="196"/>
      <c r="H786" s="196"/>
      <c r="I786" s="196"/>
    </row>
    <row r="787" ht="15.75" customHeight="1">
      <c r="G787" s="196"/>
      <c r="H787" s="196"/>
      <c r="I787" s="196"/>
    </row>
    <row r="788" ht="15.75" customHeight="1">
      <c r="G788" s="196"/>
      <c r="H788" s="196"/>
      <c r="I788" s="196"/>
    </row>
    <row r="789" ht="15.75" customHeight="1">
      <c r="G789" s="196"/>
      <c r="H789" s="196"/>
      <c r="I789" s="196"/>
    </row>
    <row r="790" ht="15.75" customHeight="1">
      <c r="G790" s="196"/>
      <c r="H790" s="196"/>
      <c r="I790" s="196"/>
    </row>
    <row r="791" ht="15.75" customHeight="1">
      <c r="G791" s="196"/>
      <c r="H791" s="196"/>
      <c r="I791" s="196"/>
    </row>
    <row r="792" ht="15.75" customHeight="1">
      <c r="G792" s="196"/>
      <c r="H792" s="196"/>
      <c r="I792" s="196"/>
    </row>
    <row r="793" ht="15.75" customHeight="1">
      <c r="G793" s="196"/>
      <c r="H793" s="196"/>
      <c r="I793" s="196"/>
    </row>
    <row r="794" ht="15.75" customHeight="1">
      <c r="G794" s="196"/>
      <c r="H794" s="196"/>
      <c r="I794" s="196"/>
    </row>
    <row r="795" ht="15.75" customHeight="1">
      <c r="G795" s="196"/>
      <c r="H795" s="196"/>
      <c r="I795" s="196"/>
    </row>
    <row r="796" ht="15.75" customHeight="1">
      <c r="G796" s="196"/>
      <c r="H796" s="196"/>
      <c r="I796" s="196"/>
    </row>
    <row r="797" ht="15.75" customHeight="1">
      <c r="G797" s="196"/>
      <c r="H797" s="196"/>
      <c r="I797" s="196"/>
    </row>
    <row r="798" ht="15.75" customHeight="1">
      <c r="G798" s="196"/>
      <c r="H798" s="196"/>
      <c r="I798" s="196"/>
    </row>
    <row r="799" ht="15.75" customHeight="1">
      <c r="G799" s="196"/>
      <c r="H799" s="196"/>
      <c r="I799" s="196"/>
    </row>
    <row r="800" ht="15.75" customHeight="1">
      <c r="G800" s="196"/>
      <c r="H800" s="196"/>
      <c r="I800" s="196"/>
    </row>
    <row r="801" ht="15.75" customHeight="1">
      <c r="G801" s="196"/>
      <c r="H801" s="196"/>
      <c r="I801" s="196"/>
    </row>
    <row r="802" ht="15.75" customHeight="1">
      <c r="G802" s="196"/>
      <c r="H802" s="196"/>
      <c r="I802" s="196"/>
    </row>
    <row r="803" ht="15.75" customHeight="1">
      <c r="G803" s="196"/>
      <c r="H803" s="196"/>
      <c r="I803" s="196"/>
    </row>
    <row r="804" ht="15.75" customHeight="1">
      <c r="G804" s="196"/>
      <c r="H804" s="196"/>
      <c r="I804" s="196"/>
    </row>
    <row r="805" ht="15.75" customHeight="1">
      <c r="G805" s="196"/>
      <c r="H805" s="196"/>
      <c r="I805" s="196"/>
    </row>
    <row r="806" ht="15.75" customHeight="1">
      <c r="G806" s="196"/>
      <c r="H806" s="196"/>
      <c r="I806" s="196"/>
    </row>
    <row r="807" ht="15.75" customHeight="1">
      <c r="G807" s="196"/>
      <c r="H807" s="196"/>
      <c r="I807" s="196"/>
    </row>
    <row r="808" ht="15.75" customHeight="1">
      <c r="G808" s="196"/>
      <c r="H808" s="196"/>
      <c r="I808" s="196"/>
    </row>
    <row r="809" ht="15.75" customHeight="1">
      <c r="G809" s="196"/>
      <c r="H809" s="196"/>
      <c r="I809" s="196"/>
    </row>
    <row r="810" ht="15.75" customHeight="1">
      <c r="G810" s="196"/>
      <c r="H810" s="196"/>
      <c r="I810" s="196"/>
    </row>
    <row r="811" ht="15.75" customHeight="1">
      <c r="G811" s="196"/>
      <c r="H811" s="196"/>
      <c r="I811" s="196"/>
    </row>
    <row r="812" ht="15.75" customHeight="1">
      <c r="G812" s="196"/>
      <c r="H812" s="196"/>
      <c r="I812" s="196"/>
    </row>
    <row r="813" ht="15.75" customHeight="1">
      <c r="G813" s="196"/>
      <c r="H813" s="196"/>
      <c r="I813" s="196"/>
    </row>
    <row r="814" ht="15.75" customHeight="1">
      <c r="G814" s="196"/>
      <c r="H814" s="196"/>
      <c r="I814" s="196"/>
    </row>
    <row r="815" ht="15.75" customHeight="1">
      <c r="G815" s="196"/>
      <c r="H815" s="196"/>
      <c r="I815" s="196"/>
    </row>
    <row r="816" ht="15.75" customHeight="1">
      <c r="G816" s="196"/>
      <c r="H816" s="196"/>
      <c r="I816" s="196"/>
    </row>
    <row r="817" ht="15.75" customHeight="1">
      <c r="G817" s="196"/>
      <c r="H817" s="196"/>
      <c r="I817" s="196"/>
    </row>
    <row r="818" ht="15.75" customHeight="1">
      <c r="G818" s="196"/>
      <c r="H818" s="196"/>
      <c r="I818" s="196"/>
    </row>
    <row r="819" ht="15.75" customHeight="1">
      <c r="G819" s="196"/>
      <c r="H819" s="196"/>
      <c r="I819" s="196"/>
    </row>
    <row r="820" ht="15.75" customHeight="1">
      <c r="G820" s="196"/>
      <c r="H820" s="196"/>
      <c r="I820" s="196"/>
    </row>
    <row r="821" ht="15.75" customHeight="1">
      <c r="G821" s="196"/>
      <c r="H821" s="196"/>
      <c r="I821" s="196"/>
    </row>
    <row r="822" ht="15.75" customHeight="1">
      <c r="G822" s="196"/>
      <c r="H822" s="196"/>
      <c r="I822" s="196"/>
    </row>
    <row r="823" ht="15.75" customHeight="1">
      <c r="G823" s="196"/>
      <c r="H823" s="196"/>
      <c r="I823" s="196"/>
    </row>
    <row r="824" ht="15.75" customHeight="1">
      <c r="G824" s="196"/>
      <c r="H824" s="196"/>
      <c r="I824" s="196"/>
    </row>
    <row r="825" ht="15.75" customHeight="1">
      <c r="G825" s="196"/>
      <c r="H825" s="196"/>
      <c r="I825" s="196"/>
    </row>
    <row r="826" ht="15.75" customHeight="1">
      <c r="G826" s="196"/>
      <c r="H826" s="196"/>
      <c r="I826" s="196"/>
    </row>
    <row r="827" ht="15.75" customHeight="1">
      <c r="G827" s="196"/>
      <c r="H827" s="196"/>
      <c r="I827" s="196"/>
    </row>
    <row r="828" ht="15.75" customHeight="1">
      <c r="G828" s="196"/>
      <c r="H828" s="196"/>
      <c r="I828" s="196"/>
    </row>
    <row r="829" ht="15.75" customHeight="1">
      <c r="G829" s="196"/>
      <c r="H829" s="196"/>
      <c r="I829" s="196"/>
    </row>
    <row r="830" ht="15.75" customHeight="1">
      <c r="G830" s="196"/>
      <c r="H830" s="196"/>
      <c r="I830" s="196"/>
    </row>
    <row r="831" ht="15.75" customHeight="1">
      <c r="G831" s="196"/>
      <c r="H831" s="196"/>
      <c r="I831" s="196"/>
    </row>
    <row r="832" ht="15.75" customHeight="1">
      <c r="G832" s="196"/>
      <c r="H832" s="196"/>
      <c r="I832" s="196"/>
    </row>
    <row r="833" ht="15.75" customHeight="1">
      <c r="G833" s="196"/>
      <c r="H833" s="196"/>
      <c r="I833" s="196"/>
    </row>
    <row r="834" ht="15.75" customHeight="1">
      <c r="G834" s="196"/>
      <c r="H834" s="196"/>
      <c r="I834" s="196"/>
    </row>
    <row r="835" ht="15.75" customHeight="1">
      <c r="G835" s="196"/>
      <c r="H835" s="196"/>
      <c r="I835" s="196"/>
    </row>
    <row r="836" ht="15.75" customHeight="1">
      <c r="G836" s="196"/>
      <c r="H836" s="196"/>
      <c r="I836" s="196"/>
    </row>
    <row r="837" ht="15.75" customHeight="1">
      <c r="G837" s="196"/>
      <c r="H837" s="196"/>
      <c r="I837" s="196"/>
    </row>
    <row r="838" ht="15.75" customHeight="1">
      <c r="G838" s="196"/>
      <c r="H838" s="196"/>
      <c r="I838" s="196"/>
    </row>
    <row r="839" ht="15.75" customHeight="1">
      <c r="G839" s="196"/>
      <c r="H839" s="196"/>
      <c r="I839" s="196"/>
    </row>
    <row r="840" ht="15.75" customHeight="1">
      <c r="G840" s="196"/>
      <c r="H840" s="196"/>
      <c r="I840" s="196"/>
    </row>
    <row r="841" ht="15.75" customHeight="1">
      <c r="G841" s="196"/>
      <c r="H841" s="196"/>
      <c r="I841" s="196"/>
    </row>
    <row r="842" ht="15.75" customHeight="1">
      <c r="G842" s="196"/>
      <c r="H842" s="196"/>
      <c r="I842" s="196"/>
    </row>
    <row r="843" ht="15.75" customHeight="1">
      <c r="G843" s="196"/>
      <c r="H843" s="196"/>
      <c r="I843" s="196"/>
    </row>
    <row r="844" ht="15.75" customHeight="1">
      <c r="G844" s="196"/>
      <c r="H844" s="196"/>
      <c r="I844" s="196"/>
    </row>
    <row r="845" ht="15.75" customHeight="1">
      <c r="G845" s="196"/>
      <c r="H845" s="196"/>
      <c r="I845" s="196"/>
    </row>
    <row r="846" ht="15.75" customHeight="1">
      <c r="G846" s="196"/>
      <c r="H846" s="196"/>
      <c r="I846" s="196"/>
    </row>
    <row r="847" ht="15.75" customHeight="1">
      <c r="G847" s="196"/>
      <c r="H847" s="196"/>
      <c r="I847" s="196"/>
    </row>
    <row r="848" ht="15.75" customHeight="1">
      <c r="G848" s="196"/>
      <c r="H848" s="196"/>
      <c r="I848" s="196"/>
    </row>
    <row r="849" ht="15.75" customHeight="1">
      <c r="G849" s="196"/>
      <c r="H849" s="196"/>
      <c r="I849" s="196"/>
    </row>
    <row r="850" ht="15.75" customHeight="1">
      <c r="G850" s="196"/>
      <c r="H850" s="196"/>
      <c r="I850" s="196"/>
    </row>
    <row r="851" ht="15.75" customHeight="1">
      <c r="G851" s="196"/>
      <c r="H851" s="196"/>
      <c r="I851" s="196"/>
    </row>
    <row r="852" ht="15.75" customHeight="1">
      <c r="G852" s="196"/>
      <c r="H852" s="196"/>
      <c r="I852" s="196"/>
    </row>
    <row r="853" ht="15.75" customHeight="1">
      <c r="G853" s="196"/>
      <c r="H853" s="196"/>
      <c r="I853" s="196"/>
    </row>
    <row r="854" ht="15.75" customHeight="1">
      <c r="G854" s="196"/>
      <c r="H854" s="196"/>
      <c r="I854" s="196"/>
    </row>
    <row r="855" ht="15.75" customHeight="1">
      <c r="G855" s="196"/>
      <c r="H855" s="196"/>
      <c r="I855" s="196"/>
    </row>
    <row r="856" ht="15.75" customHeight="1">
      <c r="G856" s="196"/>
      <c r="H856" s="196"/>
      <c r="I856" s="196"/>
    </row>
    <row r="857" ht="15.75" customHeight="1">
      <c r="G857" s="196"/>
      <c r="H857" s="196"/>
      <c r="I857" s="196"/>
    </row>
    <row r="858" ht="15.75" customHeight="1">
      <c r="G858" s="196"/>
      <c r="H858" s="196"/>
      <c r="I858" s="196"/>
    </row>
    <row r="859" ht="15.75" customHeight="1">
      <c r="G859" s="196"/>
      <c r="H859" s="196"/>
      <c r="I859" s="196"/>
    </row>
    <row r="860" ht="15.75" customHeight="1">
      <c r="G860" s="196"/>
      <c r="H860" s="196"/>
      <c r="I860" s="196"/>
    </row>
    <row r="861" ht="15.75" customHeight="1">
      <c r="G861" s="196"/>
      <c r="H861" s="196"/>
      <c r="I861" s="196"/>
    </row>
    <row r="862" ht="15.75" customHeight="1">
      <c r="G862" s="196"/>
      <c r="H862" s="196"/>
      <c r="I862" s="196"/>
    </row>
    <row r="863" ht="15.75" customHeight="1">
      <c r="G863" s="196"/>
      <c r="H863" s="196"/>
      <c r="I863" s="196"/>
    </row>
    <row r="864" ht="15.75" customHeight="1">
      <c r="G864" s="196"/>
      <c r="H864" s="196"/>
      <c r="I864" s="196"/>
    </row>
    <row r="865" ht="15.75" customHeight="1">
      <c r="G865" s="196"/>
      <c r="H865" s="196"/>
      <c r="I865" s="196"/>
    </row>
    <row r="866" ht="15.75" customHeight="1">
      <c r="G866" s="196"/>
      <c r="H866" s="196"/>
      <c r="I866" s="196"/>
    </row>
    <row r="867" ht="15.75" customHeight="1">
      <c r="G867" s="196"/>
      <c r="H867" s="196"/>
      <c r="I867" s="196"/>
    </row>
    <row r="868" ht="15.75" customHeight="1">
      <c r="G868" s="196"/>
      <c r="H868" s="196"/>
      <c r="I868" s="196"/>
    </row>
    <row r="869" ht="15.75" customHeight="1">
      <c r="G869" s="196"/>
      <c r="H869" s="196"/>
      <c r="I869" s="196"/>
    </row>
    <row r="870" ht="15.75" customHeight="1">
      <c r="G870" s="196"/>
      <c r="H870" s="196"/>
      <c r="I870" s="196"/>
    </row>
    <row r="871" ht="15.75" customHeight="1">
      <c r="G871" s="196"/>
      <c r="H871" s="196"/>
      <c r="I871" s="196"/>
    </row>
    <row r="872" ht="15.75" customHeight="1">
      <c r="G872" s="196"/>
      <c r="H872" s="196"/>
      <c r="I872" s="196"/>
    </row>
    <row r="873" ht="15.75" customHeight="1">
      <c r="G873" s="196"/>
      <c r="H873" s="196"/>
      <c r="I873" s="196"/>
    </row>
    <row r="874" ht="15.75" customHeight="1">
      <c r="G874" s="196"/>
      <c r="H874" s="196"/>
      <c r="I874" s="196"/>
    </row>
    <row r="875" ht="15.75" customHeight="1">
      <c r="G875" s="196"/>
      <c r="H875" s="196"/>
      <c r="I875" s="196"/>
    </row>
    <row r="876" ht="15.75" customHeight="1">
      <c r="G876" s="196"/>
      <c r="H876" s="196"/>
      <c r="I876" s="196"/>
    </row>
    <row r="877" ht="15.75" customHeight="1">
      <c r="G877" s="196"/>
      <c r="H877" s="196"/>
      <c r="I877" s="196"/>
    </row>
    <row r="878" ht="15.75" customHeight="1">
      <c r="G878" s="196"/>
      <c r="H878" s="196"/>
      <c r="I878" s="196"/>
    </row>
    <row r="879" ht="15.75" customHeight="1">
      <c r="G879" s="196"/>
      <c r="H879" s="196"/>
      <c r="I879" s="196"/>
    </row>
    <row r="880" ht="15.75" customHeight="1">
      <c r="G880" s="196"/>
      <c r="H880" s="196"/>
      <c r="I880" s="196"/>
    </row>
    <row r="881" ht="15.75" customHeight="1">
      <c r="G881" s="196"/>
      <c r="H881" s="196"/>
      <c r="I881" s="196"/>
    </row>
    <row r="882" ht="15.75" customHeight="1">
      <c r="G882" s="196"/>
      <c r="H882" s="196"/>
      <c r="I882" s="196"/>
    </row>
    <row r="883" ht="15.75" customHeight="1">
      <c r="G883" s="196"/>
      <c r="H883" s="196"/>
      <c r="I883" s="196"/>
    </row>
    <row r="884" ht="15.75" customHeight="1">
      <c r="G884" s="196"/>
      <c r="H884" s="196"/>
      <c r="I884" s="196"/>
    </row>
    <row r="885" ht="15.75" customHeight="1">
      <c r="G885" s="196"/>
      <c r="H885" s="196"/>
      <c r="I885" s="196"/>
    </row>
    <row r="886" ht="15.75" customHeight="1">
      <c r="G886" s="196"/>
      <c r="H886" s="196"/>
      <c r="I886" s="196"/>
    </row>
    <row r="887" ht="15.75" customHeight="1">
      <c r="G887" s="196"/>
      <c r="H887" s="196"/>
      <c r="I887" s="196"/>
    </row>
    <row r="888" ht="15.75" customHeight="1">
      <c r="G888" s="196"/>
      <c r="H888" s="196"/>
      <c r="I888" s="196"/>
    </row>
    <row r="889" ht="15.75" customHeight="1">
      <c r="G889" s="196"/>
      <c r="H889" s="196"/>
      <c r="I889" s="196"/>
    </row>
    <row r="890" ht="15.75" customHeight="1">
      <c r="G890" s="196"/>
      <c r="H890" s="196"/>
      <c r="I890" s="196"/>
    </row>
    <row r="891" ht="15.75" customHeight="1">
      <c r="G891" s="196"/>
      <c r="H891" s="196"/>
      <c r="I891" s="196"/>
    </row>
    <row r="892" ht="15.75" customHeight="1">
      <c r="G892" s="196"/>
      <c r="H892" s="196"/>
      <c r="I892" s="196"/>
    </row>
    <row r="893" ht="15.75" customHeight="1">
      <c r="G893" s="196"/>
      <c r="H893" s="196"/>
      <c r="I893" s="196"/>
    </row>
    <row r="894" ht="15.75" customHeight="1">
      <c r="G894" s="196"/>
      <c r="H894" s="196"/>
      <c r="I894" s="196"/>
    </row>
    <row r="895" ht="15.75" customHeight="1">
      <c r="G895" s="196"/>
      <c r="H895" s="196"/>
      <c r="I895" s="196"/>
    </row>
    <row r="896" ht="15.75" customHeight="1">
      <c r="G896" s="196"/>
      <c r="H896" s="196"/>
      <c r="I896" s="196"/>
    </row>
    <row r="897" ht="15.75" customHeight="1">
      <c r="G897" s="196"/>
      <c r="H897" s="196"/>
      <c r="I897" s="196"/>
    </row>
    <row r="898" ht="15.75" customHeight="1">
      <c r="G898" s="196"/>
      <c r="H898" s="196"/>
      <c r="I898" s="196"/>
    </row>
    <row r="899" ht="15.75" customHeight="1">
      <c r="G899" s="196"/>
      <c r="H899" s="196"/>
      <c r="I899" s="196"/>
    </row>
    <row r="900" ht="15.75" customHeight="1">
      <c r="G900" s="196"/>
      <c r="H900" s="196"/>
      <c r="I900" s="196"/>
    </row>
    <row r="901" ht="15.75" customHeight="1">
      <c r="G901" s="196"/>
      <c r="H901" s="196"/>
      <c r="I901" s="196"/>
    </row>
    <row r="902" ht="15.75" customHeight="1">
      <c r="G902" s="196"/>
      <c r="H902" s="196"/>
      <c r="I902" s="196"/>
    </row>
    <row r="903" ht="15.75" customHeight="1">
      <c r="G903" s="196"/>
      <c r="H903" s="196"/>
      <c r="I903" s="196"/>
    </row>
    <row r="904" ht="15.75" customHeight="1">
      <c r="G904" s="196"/>
      <c r="H904" s="196"/>
      <c r="I904" s="196"/>
    </row>
    <row r="905" ht="15.75" customHeight="1">
      <c r="G905" s="196"/>
      <c r="H905" s="196"/>
      <c r="I905" s="196"/>
    </row>
    <row r="906" ht="15.75" customHeight="1">
      <c r="G906" s="196"/>
      <c r="H906" s="196"/>
      <c r="I906" s="196"/>
    </row>
    <row r="907" ht="15.75" customHeight="1">
      <c r="G907" s="196"/>
      <c r="H907" s="196"/>
      <c r="I907" s="196"/>
    </row>
    <row r="908" ht="15.75" customHeight="1">
      <c r="G908" s="196"/>
      <c r="H908" s="196"/>
      <c r="I908" s="196"/>
    </row>
    <row r="909" ht="15.75" customHeight="1">
      <c r="G909" s="196"/>
      <c r="H909" s="196"/>
      <c r="I909" s="196"/>
    </row>
    <row r="910" ht="15.75" customHeight="1">
      <c r="G910" s="196"/>
      <c r="H910" s="196"/>
      <c r="I910" s="196"/>
    </row>
    <row r="911" ht="15.75" customHeight="1">
      <c r="G911" s="196"/>
      <c r="H911" s="196"/>
      <c r="I911" s="196"/>
    </row>
    <row r="912" ht="15.75" customHeight="1">
      <c r="G912" s="196"/>
      <c r="H912" s="196"/>
      <c r="I912" s="196"/>
    </row>
    <row r="913" ht="15.75" customHeight="1">
      <c r="G913" s="196"/>
      <c r="H913" s="196"/>
      <c r="I913" s="196"/>
    </row>
    <row r="914" ht="15.75" customHeight="1">
      <c r="G914" s="196"/>
      <c r="H914" s="196"/>
      <c r="I914" s="196"/>
    </row>
    <row r="915" ht="15.75" customHeight="1">
      <c r="G915" s="196"/>
      <c r="H915" s="196"/>
      <c r="I915" s="196"/>
    </row>
    <row r="916" ht="15.75" customHeight="1">
      <c r="G916" s="196"/>
      <c r="H916" s="196"/>
      <c r="I916" s="196"/>
    </row>
    <row r="917" ht="15.75" customHeight="1">
      <c r="G917" s="196"/>
      <c r="H917" s="196"/>
      <c r="I917" s="196"/>
    </row>
    <row r="918" ht="15.75" customHeight="1">
      <c r="G918" s="196"/>
      <c r="H918" s="196"/>
      <c r="I918" s="196"/>
    </row>
    <row r="919" ht="15.75" customHeight="1">
      <c r="G919" s="196"/>
      <c r="H919" s="196"/>
      <c r="I919" s="196"/>
    </row>
    <row r="920" ht="15.75" customHeight="1">
      <c r="G920" s="196"/>
      <c r="H920" s="196"/>
      <c r="I920" s="196"/>
    </row>
    <row r="921" ht="15.75" customHeight="1">
      <c r="G921" s="196"/>
      <c r="H921" s="196"/>
      <c r="I921" s="196"/>
    </row>
    <row r="922" ht="15.75" customHeight="1">
      <c r="G922" s="196"/>
      <c r="H922" s="196"/>
      <c r="I922" s="196"/>
    </row>
    <row r="923" ht="15.75" customHeight="1">
      <c r="G923" s="196"/>
      <c r="H923" s="196"/>
      <c r="I923" s="196"/>
    </row>
    <row r="924" ht="15.75" customHeight="1">
      <c r="G924" s="196"/>
      <c r="H924" s="196"/>
      <c r="I924" s="196"/>
    </row>
    <row r="925" ht="15.75" customHeight="1">
      <c r="G925" s="196"/>
      <c r="H925" s="196"/>
      <c r="I925" s="196"/>
    </row>
    <row r="926" ht="15.75" customHeight="1">
      <c r="G926" s="196"/>
      <c r="H926" s="196"/>
      <c r="I926" s="196"/>
    </row>
    <row r="927" ht="15.75" customHeight="1">
      <c r="G927" s="196"/>
      <c r="H927" s="196"/>
      <c r="I927" s="196"/>
    </row>
    <row r="928" ht="15.75" customHeight="1">
      <c r="G928" s="196"/>
      <c r="H928" s="196"/>
      <c r="I928" s="196"/>
    </row>
    <row r="929" ht="15.75" customHeight="1">
      <c r="G929" s="196"/>
      <c r="H929" s="196"/>
      <c r="I929" s="196"/>
    </row>
    <row r="930" ht="15.75" customHeight="1">
      <c r="G930" s="196"/>
      <c r="H930" s="196"/>
      <c r="I930" s="196"/>
    </row>
    <row r="931" ht="15.75" customHeight="1">
      <c r="G931" s="196"/>
      <c r="H931" s="196"/>
      <c r="I931" s="196"/>
    </row>
    <row r="932" ht="15.75" customHeight="1">
      <c r="G932" s="196"/>
      <c r="H932" s="196"/>
      <c r="I932" s="196"/>
    </row>
    <row r="933" ht="15.75" customHeight="1">
      <c r="G933" s="196"/>
      <c r="H933" s="196"/>
      <c r="I933" s="196"/>
    </row>
    <row r="934" ht="15.75" customHeight="1">
      <c r="G934" s="196"/>
      <c r="H934" s="196"/>
      <c r="I934" s="196"/>
    </row>
    <row r="935" ht="15.75" customHeight="1">
      <c r="G935" s="196"/>
      <c r="H935" s="196"/>
      <c r="I935" s="196"/>
    </row>
    <row r="936" ht="15.75" customHeight="1">
      <c r="G936" s="196"/>
      <c r="H936" s="196"/>
      <c r="I936" s="196"/>
    </row>
    <row r="937" ht="15.75" customHeight="1">
      <c r="G937" s="196"/>
      <c r="H937" s="196"/>
      <c r="I937" s="196"/>
    </row>
    <row r="938" ht="15.75" customHeight="1">
      <c r="G938" s="196"/>
      <c r="H938" s="196"/>
      <c r="I938" s="196"/>
    </row>
    <row r="939" ht="15.75" customHeight="1">
      <c r="G939" s="196"/>
      <c r="H939" s="196"/>
      <c r="I939" s="196"/>
    </row>
    <row r="940" ht="15.75" customHeight="1">
      <c r="G940" s="196"/>
      <c r="H940" s="196"/>
      <c r="I940" s="196"/>
    </row>
    <row r="941" ht="15.75" customHeight="1">
      <c r="G941" s="196"/>
      <c r="H941" s="196"/>
      <c r="I941" s="196"/>
    </row>
    <row r="942" ht="15.75" customHeight="1">
      <c r="G942" s="196"/>
      <c r="H942" s="196"/>
      <c r="I942" s="196"/>
    </row>
    <row r="943" ht="15.75" customHeight="1">
      <c r="G943" s="196"/>
      <c r="H943" s="196"/>
      <c r="I943" s="196"/>
    </row>
    <row r="944" ht="15.75" customHeight="1">
      <c r="G944" s="196"/>
      <c r="H944" s="196"/>
      <c r="I944" s="196"/>
    </row>
    <row r="945" ht="15.75" customHeight="1">
      <c r="G945" s="196"/>
      <c r="H945" s="196"/>
      <c r="I945" s="196"/>
    </row>
    <row r="946" ht="15.75" customHeight="1">
      <c r="G946" s="196"/>
      <c r="H946" s="196"/>
      <c r="I946" s="196"/>
    </row>
    <row r="947" ht="15.75" customHeight="1">
      <c r="G947" s="196"/>
      <c r="H947" s="196"/>
      <c r="I947" s="196"/>
    </row>
    <row r="948" ht="15.75" customHeight="1">
      <c r="G948" s="196"/>
      <c r="H948" s="196"/>
      <c r="I948" s="196"/>
    </row>
    <row r="949" ht="15.75" customHeight="1">
      <c r="G949" s="196"/>
      <c r="H949" s="196"/>
      <c r="I949" s="196"/>
    </row>
    <row r="950" ht="15.75" customHeight="1">
      <c r="G950" s="196"/>
      <c r="H950" s="196"/>
      <c r="I950" s="196"/>
    </row>
    <row r="951" ht="15.75" customHeight="1">
      <c r="G951" s="196"/>
      <c r="H951" s="196"/>
      <c r="I951" s="196"/>
    </row>
    <row r="952" ht="15.75" customHeight="1">
      <c r="G952" s="196"/>
      <c r="H952" s="196"/>
      <c r="I952" s="196"/>
    </row>
    <row r="953" ht="15.75" customHeight="1">
      <c r="G953" s="196"/>
      <c r="H953" s="196"/>
      <c r="I953" s="196"/>
    </row>
    <row r="954" ht="15.75" customHeight="1">
      <c r="G954" s="196"/>
      <c r="H954" s="196"/>
      <c r="I954" s="196"/>
    </row>
    <row r="955" ht="15.75" customHeight="1">
      <c r="G955" s="196"/>
      <c r="H955" s="196"/>
      <c r="I955" s="196"/>
    </row>
    <row r="956" ht="15.75" customHeight="1">
      <c r="G956" s="196"/>
      <c r="H956" s="196"/>
      <c r="I956" s="196"/>
    </row>
    <row r="957" ht="15.75" customHeight="1">
      <c r="G957" s="196"/>
      <c r="H957" s="196"/>
      <c r="I957" s="196"/>
    </row>
    <row r="958" ht="15.75" customHeight="1">
      <c r="G958" s="196"/>
      <c r="H958" s="196"/>
      <c r="I958" s="196"/>
    </row>
    <row r="959" ht="15.75" customHeight="1">
      <c r="G959" s="196"/>
      <c r="H959" s="196"/>
      <c r="I959" s="196"/>
    </row>
    <row r="960" ht="15.75" customHeight="1">
      <c r="G960" s="196"/>
      <c r="H960" s="196"/>
      <c r="I960" s="196"/>
    </row>
    <row r="961" ht="15.75" customHeight="1">
      <c r="G961" s="196"/>
      <c r="H961" s="196"/>
      <c r="I961" s="196"/>
    </row>
    <row r="962" ht="15.75" customHeight="1">
      <c r="G962" s="196"/>
      <c r="H962" s="196"/>
      <c r="I962" s="196"/>
    </row>
    <row r="963" ht="15.75" customHeight="1">
      <c r="G963" s="196"/>
      <c r="H963" s="196"/>
      <c r="I963" s="196"/>
    </row>
    <row r="964" ht="15.75" customHeight="1">
      <c r="G964" s="196"/>
      <c r="H964" s="196"/>
      <c r="I964" s="196"/>
    </row>
    <row r="965" ht="15.75" customHeight="1">
      <c r="G965" s="196"/>
      <c r="H965" s="196"/>
      <c r="I965" s="196"/>
    </row>
    <row r="966" ht="15.75" customHeight="1">
      <c r="G966" s="196"/>
      <c r="H966" s="196"/>
      <c r="I966" s="196"/>
    </row>
    <row r="967" ht="15.75" customHeight="1">
      <c r="G967" s="196"/>
      <c r="H967" s="196"/>
      <c r="I967" s="196"/>
    </row>
    <row r="968" ht="15.75" customHeight="1">
      <c r="G968" s="196"/>
      <c r="H968" s="196"/>
      <c r="I968" s="196"/>
    </row>
    <row r="969" ht="15.75" customHeight="1">
      <c r="G969" s="196"/>
      <c r="H969" s="196"/>
      <c r="I969" s="196"/>
    </row>
    <row r="970" ht="15.75" customHeight="1">
      <c r="G970" s="196"/>
      <c r="H970" s="196"/>
      <c r="I970" s="196"/>
    </row>
    <row r="971" ht="15.75" customHeight="1">
      <c r="G971" s="196"/>
      <c r="H971" s="196"/>
      <c r="I971" s="196"/>
    </row>
    <row r="972" ht="15.75" customHeight="1">
      <c r="G972" s="196"/>
      <c r="H972" s="196"/>
      <c r="I972" s="196"/>
    </row>
    <row r="973" ht="15.75" customHeight="1">
      <c r="G973" s="196"/>
      <c r="H973" s="196"/>
      <c r="I973" s="196"/>
    </row>
    <row r="974" ht="15.75" customHeight="1">
      <c r="G974" s="196"/>
      <c r="H974" s="196"/>
      <c r="I974" s="196"/>
    </row>
    <row r="975" ht="15.75" customHeight="1">
      <c r="G975" s="196"/>
      <c r="H975" s="196"/>
      <c r="I975" s="196"/>
    </row>
    <row r="976" ht="15.75" customHeight="1">
      <c r="G976" s="196"/>
      <c r="H976" s="196"/>
      <c r="I976" s="196"/>
    </row>
    <row r="977" ht="15.75" customHeight="1">
      <c r="G977" s="196"/>
      <c r="H977" s="196"/>
      <c r="I977" s="196"/>
    </row>
    <row r="978" ht="15.75" customHeight="1">
      <c r="G978" s="196"/>
      <c r="H978" s="196"/>
      <c r="I978" s="196"/>
    </row>
    <row r="979" ht="15.75" customHeight="1">
      <c r="G979" s="196"/>
      <c r="H979" s="196"/>
      <c r="I979" s="196"/>
    </row>
    <row r="980" ht="15.75" customHeight="1">
      <c r="G980" s="196"/>
      <c r="H980" s="196"/>
      <c r="I980" s="196"/>
    </row>
    <row r="981" ht="15.75" customHeight="1">
      <c r="G981" s="196"/>
      <c r="H981" s="196"/>
      <c r="I981" s="196"/>
    </row>
    <row r="982" ht="15.75" customHeight="1">
      <c r="G982" s="196"/>
      <c r="H982" s="196"/>
      <c r="I982" s="196"/>
    </row>
    <row r="983" ht="15.75" customHeight="1">
      <c r="G983" s="196"/>
      <c r="H983" s="196"/>
      <c r="I983" s="196"/>
    </row>
    <row r="984" ht="15.75" customHeight="1">
      <c r="G984" s="196"/>
      <c r="H984" s="196"/>
      <c r="I984" s="196"/>
    </row>
    <row r="985" ht="15.75" customHeight="1">
      <c r="G985" s="196"/>
      <c r="H985" s="196"/>
      <c r="I985" s="196"/>
    </row>
    <row r="986" ht="15.75" customHeight="1">
      <c r="G986" s="196"/>
      <c r="H986" s="196"/>
      <c r="I986" s="196"/>
    </row>
    <row r="987" ht="15.75" customHeight="1">
      <c r="G987" s="196"/>
      <c r="H987" s="196"/>
      <c r="I987" s="196"/>
    </row>
    <row r="988" ht="15.75" customHeight="1">
      <c r="G988" s="196"/>
      <c r="H988" s="196"/>
      <c r="I988" s="196"/>
    </row>
    <row r="989" ht="15.75" customHeight="1">
      <c r="G989" s="196"/>
      <c r="H989" s="196"/>
      <c r="I989" s="196"/>
    </row>
    <row r="990" ht="15.75" customHeight="1">
      <c r="G990" s="196"/>
      <c r="H990" s="196"/>
      <c r="I990" s="196"/>
    </row>
    <row r="991" ht="15.75" customHeight="1">
      <c r="G991" s="196"/>
      <c r="H991" s="196"/>
      <c r="I991" s="196"/>
    </row>
    <row r="992" ht="15.75" customHeight="1">
      <c r="G992" s="196"/>
      <c r="H992" s="196"/>
      <c r="I992" s="196"/>
    </row>
    <row r="993" ht="15.75" customHeight="1">
      <c r="G993" s="196"/>
      <c r="H993" s="196"/>
      <c r="I993" s="196"/>
    </row>
    <row r="994" ht="15.75" customHeight="1">
      <c r="G994" s="196"/>
      <c r="H994" s="196"/>
      <c r="I994" s="196"/>
    </row>
    <row r="995" ht="15.75" customHeight="1">
      <c r="G995" s="196"/>
      <c r="H995" s="196"/>
      <c r="I995" s="196"/>
    </row>
    <row r="996" ht="15.75" customHeight="1">
      <c r="G996" s="196"/>
      <c r="H996" s="196"/>
      <c r="I996" s="196"/>
    </row>
    <row r="997" ht="15.75" customHeight="1">
      <c r="G997" s="196"/>
      <c r="H997" s="196"/>
      <c r="I997" s="196"/>
    </row>
    <row r="998" ht="15.75" customHeight="1">
      <c r="G998" s="196"/>
      <c r="H998" s="196"/>
      <c r="I998" s="196"/>
    </row>
    <row r="999" ht="15.75" customHeight="1">
      <c r="B999" s="200"/>
      <c r="G999" s="196"/>
      <c r="H999" s="196"/>
      <c r="I999" s="196"/>
    </row>
    <row r="1000" ht="15.75" customHeight="1">
      <c r="F1000" s="200"/>
      <c r="G1000" s="196"/>
      <c r="H1000" s="196"/>
      <c r="I1000" s="196"/>
    </row>
  </sheetData>
  <mergeCells count="2">
    <mergeCell ref="A1:C1"/>
    <mergeCell ref="A2:H2"/>
  </mergeCells>
  <hyperlinks>
    <hyperlink r:id="rId1" ref="F293"/>
    <hyperlink r:id="rId2" ref="F294"/>
    <hyperlink r:id="rId3" ref="F295"/>
    <hyperlink r:id="rId4" ref="F306"/>
    <hyperlink r:id="rId5" ref="F307"/>
  </hyperlinks>
  <drawing r:id="rId6"/>
  <tableParts count="1">
    <tablePart r:id="rId8"/>
  </tableParts>
</worksheet>
</file>